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pfito365-my.sharepoint.com/personal/witsanu_sir_cpf_co_th/Documents/PLP - เพิ่มประสิทธิภาพกุ้งแกลง/2_Raw mat/แผนผลิต/RM_planner/Data/Assortment/"/>
    </mc:Choice>
  </mc:AlternateContent>
  <xr:revisionPtr revIDLastSave="5" documentId="8_{D721EAB6-3F55-4883-B488-5CA7C255D4AD}" xr6:coauthVersionLast="47" xr6:coauthVersionMax="47" xr10:uidLastSave="{7C53947F-5D47-4F88-986D-924BD617B4B4}"/>
  <bookViews>
    <workbookView xWindow="-110" yWindow="-110" windowWidth="19420" windowHeight="10300" firstSheet="1" activeTab="1" xr2:uid="{00000000-000D-0000-FFFF-FFFF00000000}"/>
  </bookViews>
  <sheets>
    <sheet name="Master" sheetId="1" r:id="rId1"/>
    <sheet name="ตัวอย่าง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2" l="1"/>
  <c r="O26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11" i="2"/>
  <c r="N4" i="2"/>
  <c r="L4" i="2"/>
  <c r="J4" i="2"/>
  <c r="H4" i="2"/>
  <c r="F4" i="2"/>
  <c r="D4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3" i="2"/>
  <c r="M1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3" i="2"/>
  <c r="K1" i="2"/>
  <c r="F23" i="2"/>
  <c r="F19" i="2"/>
  <c r="F16" i="2"/>
  <c r="F14" i="2"/>
  <c r="F12" i="2"/>
  <c r="H12" i="2"/>
  <c r="H13" i="2"/>
  <c r="J16" i="2"/>
  <c r="F11" i="2"/>
  <c r="H11" i="2"/>
  <c r="J12" i="2"/>
  <c r="J13" i="2"/>
  <c r="J14" i="2"/>
  <c r="J15" i="2"/>
  <c r="J17" i="2"/>
  <c r="J18" i="2"/>
  <c r="J19" i="2"/>
  <c r="J20" i="2"/>
  <c r="J21" i="2"/>
  <c r="J22" i="2"/>
  <c r="J23" i="2"/>
  <c r="J24" i="2"/>
  <c r="J11" i="2"/>
  <c r="I1" i="2"/>
  <c r="G1" i="2"/>
  <c r="E1" i="2"/>
  <c r="C1" i="2"/>
  <c r="A1" i="2"/>
  <c r="J3" i="2"/>
  <c r="H24" i="2"/>
  <c r="H14" i="2"/>
  <c r="H15" i="2"/>
  <c r="H16" i="2"/>
  <c r="H17" i="2"/>
  <c r="H18" i="2"/>
  <c r="H19" i="2"/>
  <c r="H20" i="2"/>
  <c r="H21" i="2"/>
  <c r="H22" i="2"/>
  <c r="H23" i="2"/>
  <c r="H25" i="2"/>
  <c r="H26" i="2" s="1"/>
  <c r="F13" i="2"/>
  <c r="F15" i="2"/>
  <c r="F17" i="2"/>
  <c r="F18" i="2"/>
  <c r="F20" i="2"/>
  <c r="F21" i="2"/>
  <c r="F22" i="2"/>
  <c r="F24" i="2"/>
  <c r="F25" i="2"/>
  <c r="F26" i="2" s="1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11" i="2"/>
  <c r="D25" i="2" s="1"/>
  <c r="D26" i="2" s="1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H3" i="2"/>
  <c r="F3" i="2"/>
  <c r="D3" i="2"/>
  <c r="B3" i="2"/>
  <c r="N25" i="2" l="1"/>
  <c r="N26" i="2" s="1"/>
  <c r="L25" i="2"/>
  <c r="L26" i="2" s="1"/>
  <c r="B25" i="2"/>
  <c r="B26" i="2" s="1"/>
  <c r="J25" i="2"/>
  <c r="J26" i="2" s="1"/>
</calcChain>
</file>

<file path=xl/sharedStrings.xml><?xml version="1.0" encoding="utf-8"?>
<sst xmlns="http://schemas.openxmlformats.org/spreadsheetml/2006/main" count="307" uniqueCount="68">
  <si>
    <t>ช่วงSize HO Out Put</t>
  </si>
  <si>
    <t>S.71</t>
  </si>
  <si>
    <t>S.72</t>
  </si>
  <si>
    <t>S.73</t>
  </si>
  <si>
    <t>S.74</t>
  </si>
  <si>
    <t>S.75</t>
  </si>
  <si>
    <t>S.76</t>
  </si>
  <si>
    <t>S.77</t>
  </si>
  <si>
    <t>S.78</t>
  </si>
  <si>
    <t>S.79</t>
  </si>
  <si>
    <t>S.80</t>
  </si>
  <si>
    <t>S.81</t>
  </si>
  <si>
    <t>S.82</t>
  </si>
  <si>
    <t>S.83</t>
  </si>
  <si>
    <t>S.84</t>
  </si>
  <si>
    <t>S.85</t>
  </si>
  <si>
    <t>S.86</t>
  </si>
  <si>
    <t>S.88</t>
  </si>
  <si>
    <t>S.90</t>
  </si>
  <si>
    <t>S.113</t>
  </si>
  <si>
    <t>46-50</t>
  </si>
  <si>
    <t>51-55</t>
  </si>
  <si>
    <t>56-60</t>
  </si>
  <si>
    <t>61-65</t>
  </si>
  <si>
    <t>66-70</t>
  </si>
  <si>
    <t>71-75</t>
  </si>
  <si>
    <t>76-80</t>
  </si>
  <si>
    <t>81-85</t>
  </si>
  <si>
    <t>86-90</t>
  </si>
  <si>
    <t>91-95</t>
  </si>
  <si>
    <t>96-100</t>
  </si>
  <si>
    <t>101-120</t>
  </si>
  <si>
    <t>121-130</t>
  </si>
  <si>
    <t>131-140</t>
  </si>
  <si>
    <t>141-150</t>
  </si>
  <si>
    <t>151-160</t>
  </si>
  <si>
    <t>161-200</t>
  </si>
  <si>
    <t>201-250</t>
  </si>
  <si>
    <t>251-300</t>
  </si>
  <si>
    <t>TTL</t>
  </si>
  <si>
    <t>Total</t>
  </si>
  <si>
    <t>วันที่</t>
  </si>
  <si>
    <t>ฟาร์ม</t>
  </si>
  <si>
    <t>ณรรฐพงษ์ฟาร์ม 
(กีระติ บุญนิมิตร)</t>
  </si>
  <si>
    <t>สิริชัย 
เลิศชัยพัฒนกุล</t>
  </si>
  <si>
    <t>ลูกกระต่ายฟาร์ม-พัชรินทร์ 
จินดาพรรณ</t>
  </si>
  <si>
    <t>จังหวัด</t>
  </si>
  <si>
    <t>จันทบุรี</t>
  </si>
  <si>
    <t>ตราด</t>
  </si>
  <si>
    <t>บ่อ</t>
  </si>
  <si>
    <t>size</t>
  </si>
  <si>
    <t>การจับ</t>
  </si>
  <si>
    <t>Closed</t>
  </si>
  <si>
    <t>ปริมาณ(กก.)</t>
  </si>
  <si>
    <t>ฝอยคัดทิ้ง &gt;140</t>
  </si>
  <si>
    <t>SUM</t>
  </si>
  <si>
    <t>วิธีจับ</t>
  </si>
  <si>
    <t>แพ็ค</t>
  </si>
  <si>
    <t>Sal. (ppt)</t>
  </si>
  <si>
    <t xml:space="preserve">Remark </t>
  </si>
  <si>
    <t>%หักDefect</t>
  </si>
  <si>
    <t>Uniform</t>
  </si>
  <si>
    <t>แจ้งจับ ปิด/แบ่ง</t>
  </si>
  <si>
    <t>แบ่ง STD</t>
  </si>
  <si>
    <t>แบ่ง Premium</t>
  </si>
  <si>
    <t>แบ่ง ปัดใหญ่</t>
  </si>
  <si>
    <t>แบ่ง โรง2/ใต้</t>
  </si>
  <si>
    <t>แบ่งวันก่อน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</si>
</sst>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87" formatCode="_(* #,##0.00_);_(* \(#,##0.00\);_(* &quot;-&quot;??_);_(@_)"/>
    <numFmt numFmtId="188" formatCode="0.0%"/>
    <numFmt numFmtId="189" formatCode="dd/mm/yyyy;@"/>
    <numFmt numFmtId="190" formatCode="dd"/>
    <numFmt numFmtId="191" formatCode="_(* #,##0_);_(* \(#,##0\);_(* &quot;-&quot;??_);_(@_)"/>
  </numFmts>
  <fonts count="29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1"/>
      <color theme="0"/>
      <name val="CPF Imm Sook"/>
    </font>
    <font>
      <b/>
      <sz val="11"/>
      <color theme="1"/>
      <name val="CPF Imm Sook"/>
    </font>
    <font>
      <sz val="11"/>
      <color theme="1"/>
      <name val="CPF Imm Sook"/>
    </font>
    <font>
      <b/>
      <sz val="16"/>
      <color rgb="FFFF0000"/>
      <name val="CPFImmSook"/>
      <charset val="222"/>
    </font>
    <font>
      <b/>
      <sz val="16"/>
      <color rgb="FFFF0000"/>
      <name val="CPFImmSook"/>
    </font>
    <font>
      <b/>
      <sz val="16"/>
      <color theme="0"/>
      <name val="CPFImmSook"/>
      <charset val="222"/>
    </font>
    <font>
      <b/>
      <sz val="16"/>
      <color theme="0"/>
      <name val="CPFImmSook"/>
    </font>
    <font>
      <b/>
      <sz val="16"/>
      <color rgb="FFFFFF00"/>
      <name val="CPFImmSook"/>
    </font>
    <font>
      <b/>
      <sz val="16"/>
      <name val="CPFImmSook"/>
    </font>
    <font>
      <b/>
      <sz val="16"/>
      <name val="CPFImmSook"/>
      <charset val="222"/>
    </font>
    <font>
      <b/>
      <sz val="16"/>
      <color rgb="FFC00000"/>
      <name val="CPFImmSook"/>
    </font>
    <font>
      <b/>
      <sz val="16"/>
      <color rgb="FF006600"/>
      <name val="CPFImmSook"/>
    </font>
    <font>
      <b/>
      <sz val="16"/>
      <color theme="1"/>
      <name val="CPFImmSook"/>
    </font>
    <font>
      <b/>
      <sz val="16"/>
      <color rgb="FF99470F"/>
      <name val="CPFImmSook"/>
    </font>
    <font>
      <b/>
      <sz val="16"/>
      <color rgb="FFD05B1A"/>
      <name val="CPFImmSook"/>
    </font>
    <font>
      <b/>
      <sz val="16"/>
      <color rgb="FFF1691E"/>
      <name val="CPFImmSook"/>
    </font>
    <font>
      <b/>
      <sz val="16"/>
      <color theme="9" tint="-0.499984740745262"/>
      <name val="CPFImmSook"/>
    </font>
    <font>
      <b/>
      <sz val="16"/>
      <color rgb="FF0070C0"/>
      <name val="CPFImmSook"/>
      <charset val="222"/>
    </font>
    <font>
      <sz val="16"/>
      <color theme="1"/>
      <name val="CPFImmSook"/>
    </font>
    <font>
      <b/>
      <sz val="16"/>
      <color theme="1"/>
      <name val="CPFImmSook"/>
      <charset val="222"/>
    </font>
    <font>
      <sz val="11"/>
      <color theme="1"/>
      <name val="Tahoma"/>
      <family val="2"/>
      <scheme val="minor"/>
    </font>
    <font>
      <sz val="16"/>
      <name val="CPF Imm Sook"/>
      <family val="3"/>
      <charset val="222"/>
    </font>
    <font>
      <sz val="16"/>
      <color rgb="FFFF0000"/>
      <name val="CPF Imm Sook"/>
      <family val="3"/>
    </font>
    <font>
      <sz val="16"/>
      <color rgb="FFC00000"/>
      <name val="CPFImmSook"/>
    </font>
    <font>
      <sz val="16"/>
      <color rgb="FF006600"/>
      <name val="CPFImmSook"/>
    </font>
    <font>
      <b/>
      <sz val="16"/>
      <color theme="0"/>
      <name val="CPF Imm Sook"/>
    </font>
    <font>
      <sz val="16"/>
      <color theme="1"/>
      <name val="CPF Imm Sook"/>
    </font>
  </fonts>
  <fills count="1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BE8C6"/>
        <bgColor indexed="64"/>
      </patternFill>
    </fill>
    <fill>
      <patternFill patternType="solid">
        <fgColor rgb="FF2E2C2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8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</cellStyleXfs>
  <cellXfs count="6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88" fontId="4" fillId="0" borderId="1" xfId="2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9" fontId="3" fillId="3" borderId="1" xfId="2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right"/>
    </xf>
    <xf numFmtId="189" fontId="7" fillId="5" borderId="2" xfId="1" applyNumberFormat="1" applyFont="1" applyFill="1" applyBorder="1" applyAlignment="1">
      <alignment horizontal="center" vertical="center"/>
    </xf>
    <xf numFmtId="190" fontId="8" fillId="5" borderId="2" xfId="1" applyNumberFormat="1" applyFont="1" applyFill="1" applyBorder="1" applyAlignment="1">
      <alignment horizontal="center"/>
    </xf>
    <xf numFmtId="191" fontId="8" fillId="5" borderId="2" xfId="1" applyNumberFormat="1" applyFont="1" applyFill="1" applyBorder="1" applyAlignment="1">
      <alignment horizontal="center" vertical="center"/>
    </xf>
    <xf numFmtId="191" fontId="8" fillId="5" borderId="2" xfId="1" applyNumberFormat="1" applyFont="1" applyFill="1" applyBorder="1" applyAlignment="1">
      <alignment horizontal="center"/>
    </xf>
    <xf numFmtId="0" fontId="8" fillId="5" borderId="2" xfId="1" applyNumberFormat="1" applyFont="1" applyFill="1" applyBorder="1" applyAlignment="1">
      <alignment horizontal="center"/>
    </xf>
    <xf numFmtId="191" fontId="9" fillId="6" borderId="2" xfId="1" applyNumberFormat="1" applyFont="1" applyFill="1" applyBorder="1" applyAlignment="1">
      <alignment horizontal="center"/>
    </xf>
    <xf numFmtId="191" fontId="8" fillId="6" borderId="2" xfId="1" applyNumberFormat="1" applyFont="1" applyFill="1" applyBorder="1" applyAlignment="1">
      <alignment horizontal="center"/>
    </xf>
    <xf numFmtId="191" fontId="9" fillId="5" borderId="2" xfId="1" applyNumberFormat="1" applyFont="1" applyFill="1" applyBorder="1" applyAlignment="1">
      <alignment horizontal="center"/>
    </xf>
    <xf numFmtId="191" fontId="8" fillId="7" borderId="2" xfId="1" applyNumberFormat="1" applyFont="1" applyFill="1" applyBorder="1" applyAlignment="1">
      <alignment horizontal="center"/>
    </xf>
    <xf numFmtId="191" fontId="8" fillId="8" borderId="2" xfId="1" applyNumberFormat="1" applyFont="1" applyFill="1" applyBorder="1" applyAlignment="1">
      <alignment horizontal="center"/>
    </xf>
    <xf numFmtId="191" fontId="6" fillId="0" borderId="2" xfId="1" applyNumberFormat="1" applyFont="1" applyFill="1" applyBorder="1" applyAlignment="1">
      <alignment horizontal="center"/>
    </xf>
    <xf numFmtId="191" fontId="7" fillId="5" borderId="2" xfId="1" applyNumberFormat="1" applyFont="1" applyFill="1" applyBorder="1" applyAlignment="1">
      <alignment horizontal="center"/>
    </xf>
    <xf numFmtId="191" fontId="10" fillId="0" borderId="0" xfId="1" applyNumberFormat="1" applyFont="1" applyFill="1" applyBorder="1" applyAlignment="1">
      <alignment horizontal="center"/>
    </xf>
    <xf numFmtId="191" fontId="10" fillId="9" borderId="0" xfId="1" applyNumberFormat="1" applyFont="1" applyFill="1" applyBorder="1" applyAlignment="1">
      <alignment horizontal="center"/>
    </xf>
    <xf numFmtId="191" fontId="11" fillId="0" borderId="0" xfId="1" applyNumberFormat="1" applyFont="1" applyFill="1" applyBorder="1" applyAlignment="1">
      <alignment horizontal="center"/>
    </xf>
    <xf numFmtId="9" fontId="12" fillId="0" borderId="0" xfId="1" applyNumberFormat="1" applyFont="1" applyFill="1" applyBorder="1" applyAlignment="1">
      <alignment horizontal="center"/>
    </xf>
    <xf numFmtId="2" fontId="13" fillId="0" borderId="0" xfId="1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/>
    <xf numFmtId="0" fontId="21" fillId="10" borderId="3" xfId="0" applyFont="1" applyFill="1" applyBorder="1" applyAlignment="1">
      <alignment horizontal="right"/>
    </xf>
    <xf numFmtId="0" fontId="14" fillId="0" borderId="4" xfId="0" applyFont="1" applyBorder="1" applyAlignment="1">
      <alignment horizontal="right"/>
    </xf>
    <xf numFmtId="191" fontId="7" fillId="11" borderId="4" xfId="1" applyNumberFormat="1" applyFont="1" applyFill="1" applyBorder="1" applyAlignment="1">
      <alignment horizontal="center" vertical="center"/>
    </xf>
    <xf numFmtId="190" fontId="11" fillId="12" borderId="2" xfId="3" applyNumberFormat="1" applyFont="1" applyFill="1" applyBorder="1" applyAlignment="1">
      <alignment horizontal="right"/>
    </xf>
    <xf numFmtId="191" fontId="11" fillId="12" borderId="2" xfId="1" applyNumberFormat="1" applyFont="1" applyFill="1" applyBorder="1" applyAlignment="1">
      <alignment horizontal="center" vertical="center"/>
    </xf>
    <xf numFmtId="191" fontId="11" fillId="12" borderId="2" xfId="1" applyNumberFormat="1" applyFont="1" applyFill="1" applyBorder="1" applyAlignment="1">
      <alignment horizontal="center"/>
    </xf>
    <xf numFmtId="191" fontId="23" fillId="12" borderId="2" xfId="1" applyNumberFormat="1" applyFont="1" applyFill="1" applyBorder="1" applyAlignment="1"/>
    <xf numFmtId="191" fontId="23" fillId="12" borderId="2" xfId="1" applyNumberFormat="1" applyFont="1" applyFill="1" applyBorder="1" applyAlignment="1">
      <alignment horizontal="center"/>
    </xf>
    <xf numFmtId="1" fontId="23" fillId="12" borderId="2" xfId="2" applyNumberFormat="1" applyFont="1" applyFill="1" applyBorder="1" applyAlignment="1"/>
    <xf numFmtId="1" fontId="24" fillId="0" borderId="2" xfId="2" applyNumberFormat="1" applyFont="1" applyFill="1" applyBorder="1" applyAlignment="1"/>
    <xf numFmtId="191" fontId="11" fillId="13" borderId="2" xfId="4" applyNumberFormat="1" applyFont="1" applyFill="1" applyBorder="1" applyAlignment="1">
      <alignment horizontal="center"/>
    </xf>
    <xf numFmtId="0" fontId="10" fillId="0" borderId="0" xfId="0" applyFont="1" applyAlignment="1">
      <alignment horizontal="center" wrapText="1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9" fontId="25" fillId="0" borderId="0" xfId="0" applyNumberFormat="1" applyFont="1" applyAlignment="1">
      <alignment horizontal="center"/>
    </xf>
    <xf numFmtId="2" fontId="26" fillId="0" borderId="0" xfId="0" applyNumberFormat="1" applyFont="1" applyAlignment="1">
      <alignment horizontal="center"/>
    </xf>
    <xf numFmtId="0" fontId="14" fillId="0" borderId="0" xfId="0" quotePrefix="1" applyFont="1" applyAlignment="1">
      <alignment horizontal="center"/>
    </xf>
    <xf numFmtId="191" fontId="11" fillId="12" borderId="2" xfId="1" applyNumberFormat="1" applyFont="1" applyFill="1" applyBorder="1" applyAlignment="1">
      <alignment horizontal="center" vertical="center" wrapText="1"/>
    </xf>
    <xf numFmtId="191" fontId="27" fillId="11" borderId="4" xfId="1" applyNumberFormat="1" applyFont="1" applyFill="1" applyBorder="1" applyAlignment="1">
      <alignment horizontal="center" vertical="center"/>
    </xf>
    <xf numFmtId="0" fontId="28" fillId="0" borderId="0" xfId="0" applyFont="1"/>
    <xf numFmtId="0" fontId="28" fillId="14" borderId="0" xfId="0" applyFont="1" applyFill="1"/>
    <xf numFmtId="0" fontId="28" fillId="9" borderId="5" xfId="0" applyFont="1" applyFill="1" applyBorder="1"/>
    <xf numFmtId="1" fontId="28" fillId="9" borderId="5" xfId="0" applyNumberFormat="1" applyFont="1" applyFill="1" applyBorder="1"/>
    <xf numFmtId="191" fontId="23" fillId="12" borderId="6" xfId="1" applyNumberFormat="1" applyFont="1" applyFill="1" applyBorder="1" applyAlignment="1"/>
    <xf numFmtId="1" fontId="23" fillId="12" borderId="6" xfId="2" applyNumberFormat="1" applyFont="1" applyFill="1" applyBorder="1" applyAlignment="1"/>
    <xf numFmtId="1" fontId="24" fillId="0" borderId="6" xfId="2" applyNumberFormat="1" applyFont="1" applyFill="1" applyBorder="1" applyAlignment="1"/>
    <xf numFmtId="191" fontId="11" fillId="13" borderId="7" xfId="4" applyNumberFormat="1" applyFont="1" applyFill="1" applyBorder="1" applyAlignment="1">
      <alignment horizontal="center"/>
    </xf>
    <xf numFmtId="1" fontId="23" fillId="15" borderId="2" xfId="2" applyNumberFormat="1" applyFont="1" applyFill="1" applyBorder="1" applyAlignment="1"/>
    <xf numFmtId="191" fontId="8" fillId="15" borderId="2" xfId="1" applyNumberFormat="1" applyFont="1" applyFill="1" applyBorder="1" applyAlignment="1">
      <alignment horizontal="center"/>
    </xf>
    <xf numFmtId="1" fontId="23" fillId="15" borderId="6" xfId="2" applyNumberFormat="1" applyFont="1" applyFill="1" applyBorder="1" applyAlignment="1"/>
    <xf numFmtId="1" fontId="28" fillId="15" borderId="5" xfId="0" applyNumberFormat="1" applyFont="1" applyFill="1" applyBorder="1"/>
  </cellXfs>
  <cellStyles count="5">
    <cellStyle name="Comma" xfId="1" builtinId="3"/>
    <cellStyle name="Normal" xfId="0" builtinId="0"/>
    <cellStyle name="Percent" xfId="2" builtinId="5"/>
    <cellStyle name="จุลภาค 2 2 19 4" xfId="3" xr:uid="{7221A121-4C2C-414D-8139-8463C7D37360}"/>
    <cellStyle name="จุลภาค 2 2 5" xfId="4" xr:uid="{40356EFE-348D-48D8-BC4B-37EF82BE2269}"/>
  </cellStyles>
  <dxfs count="9">
    <dxf>
      <font>
        <b/>
        <i val="0"/>
      </font>
      <fill>
        <patternFill>
          <bgColor rgb="FFCCFFCC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CCFFCC"/>
        </patternFill>
      </fill>
    </dxf>
    <dxf>
      <font>
        <b/>
        <i val="0"/>
      </font>
      <fill>
        <patternFill>
          <bgColor rgb="FFCCFFCC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rgb="FFCAEFED"/>
        </patternFill>
      </fill>
    </dxf>
    <dxf>
      <fill>
        <patternFill>
          <bgColor rgb="FFE7FFE7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22"/>
  <sheetViews>
    <sheetView workbookViewId="0">
      <selection activeCell="A17" sqref="A17"/>
    </sheetView>
  </sheetViews>
  <sheetFormatPr defaultRowHeight="14"/>
  <cols>
    <col min="1" max="1" width="21.33203125" bestFit="1" customWidth="1"/>
  </cols>
  <sheetData>
    <row r="2" spans="1:20" ht="15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 spans="1:20" ht="15.5">
      <c r="A3" s="2" t="s">
        <v>20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3.0324346322955316E-3</v>
      </c>
      <c r="T3" s="3">
        <v>0</v>
      </c>
    </row>
    <row r="4" spans="1:20" ht="15.5">
      <c r="A4" s="2" t="s">
        <v>21</v>
      </c>
      <c r="B4" s="3">
        <v>1.1084073977842236E-2</v>
      </c>
      <c r="C4" s="3">
        <v>0.15641305012543436</v>
      </c>
      <c r="D4" s="3">
        <v>2.6432763149683076E-2</v>
      </c>
      <c r="E4" s="3">
        <v>9.7720591132494816E-2</v>
      </c>
      <c r="F4" s="3">
        <v>6.5682588502544062E-2</v>
      </c>
      <c r="G4" s="3">
        <v>3.960726797761973E-2</v>
      </c>
      <c r="H4" s="3">
        <v>6.0246406061831237E-2</v>
      </c>
      <c r="I4" s="3">
        <v>4.1019541998315423E-2</v>
      </c>
      <c r="J4" s="3">
        <v>4.355894735435438E-2</v>
      </c>
      <c r="K4" s="3">
        <v>3.5631383680918165E-2</v>
      </c>
      <c r="L4" s="3">
        <v>4.2144165074118932E-3</v>
      </c>
      <c r="M4" s="3">
        <v>2.0704885040488355E-2</v>
      </c>
      <c r="N4" s="3">
        <v>2.0806124814416488E-2</v>
      </c>
      <c r="O4" s="3">
        <v>2.8662191521360968E-2</v>
      </c>
      <c r="P4" s="3">
        <v>1.4001837649974725E-2</v>
      </c>
      <c r="Q4" s="3">
        <v>5.3103033023455294E-3</v>
      </c>
      <c r="R4" s="3">
        <v>2.2045793130247973E-2</v>
      </c>
      <c r="S4" s="3">
        <v>2.0365786141589869E-2</v>
      </c>
      <c r="T4" s="3">
        <v>0</v>
      </c>
    </row>
    <row r="5" spans="1:20" ht="15.5">
      <c r="A5" s="2" t="s">
        <v>22</v>
      </c>
      <c r="B5" s="3">
        <v>7.4153519649973632E-2</v>
      </c>
      <c r="C5" s="3">
        <v>9.2312254335650795E-2</v>
      </c>
      <c r="D5" s="3">
        <v>0.20598808138079736</v>
      </c>
      <c r="E5" s="3">
        <v>5.2561775072922159E-2</v>
      </c>
      <c r="F5" s="3">
        <v>6.4984171969498933E-2</v>
      </c>
      <c r="G5" s="3">
        <v>7.1768695703447738E-2</v>
      </c>
      <c r="H5" s="3">
        <v>6.0906749353916559E-2</v>
      </c>
      <c r="I5" s="3">
        <v>8.3438652940079669E-2</v>
      </c>
      <c r="J5" s="3">
        <v>4.8380762627371322E-2</v>
      </c>
      <c r="K5" s="3">
        <v>4.0395629685166766E-2</v>
      </c>
      <c r="L5" s="3">
        <v>5.0341446004835491E-2</v>
      </c>
      <c r="M5" s="3">
        <v>1.1673602108836304E-2</v>
      </c>
      <c r="N5" s="3">
        <v>3.3947392408953225E-2</v>
      </c>
      <c r="O5" s="3">
        <v>3.260301302876098E-2</v>
      </c>
      <c r="P5" s="3">
        <v>1.6567289538260938E-2</v>
      </c>
      <c r="Q5" s="3">
        <v>0</v>
      </c>
      <c r="R5" s="3">
        <v>4.6319592435891573E-2</v>
      </c>
      <c r="S5" s="3">
        <v>3.5546031398067092E-2</v>
      </c>
      <c r="T5" s="3">
        <v>0</v>
      </c>
    </row>
    <row r="6" spans="1:20" ht="15.5">
      <c r="A6" s="2" t="s">
        <v>23</v>
      </c>
      <c r="B6" s="3">
        <v>0.10211801814970131</v>
      </c>
      <c r="C6" s="3">
        <v>3.7486834560011978E-2</v>
      </c>
      <c r="D6" s="3">
        <v>3.7647522707302455E-2</v>
      </c>
      <c r="E6" s="3">
        <v>4.7532881447257883E-2</v>
      </c>
      <c r="F6" s="3">
        <v>1.5682402620496597E-2</v>
      </c>
      <c r="G6" s="3">
        <v>1.944175492484599E-2</v>
      </c>
      <c r="H6" s="3">
        <v>9.4107951812391361E-3</v>
      </c>
      <c r="I6" s="3">
        <v>2.621107029927806E-3</v>
      </c>
      <c r="J6" s="3">
        <v>0</v>
      </c>
      <c r="K6" s="3">
        <v>8.5484812540191739E-3</v>
      </c>
      <c r="L6" s="3">
        <v>0</v>
      </c>
      <c r="M6" s="3">
        <v>0</v>
      </c>
      <c r="N6" s="3">
        <v>2.3906445298689988E-2</v>
      </c>
      <c r="O6" s="3">
        <v>0</v>
      </c>
      <c r="P6" s="3">
        <v>1.6184756199808499E-3</v>
      </c>
      <c r="Q6" s="3">
        <v>0</v>
      </c>
      <c r="R6" s="3">
        <v>0</v>
      </c>
      <c r="S6" s="3">
        <v>0</v>
      </c>
      <c r="T6" s="3">
        <v>0</v>
      </c>
    </row>
    <row r="7" spans="1:20" ht="15.5">
      <c r="A7" s="2" t="s">
        <v>24</v>
      </c>
      <c r="B7" s="3">
        <v>0.42091047075650523</v>
      </c>
      <c r="C7" s="3">
        <v>0.40686193488233208</v>
      </c>
      <c r="D7" s="3">
        <v>0.33147019467774008</v>
      </c>
      <c r="E7" s="3">
        <v>0.37549752730784647</v>
      </c>
      <c r="F7" s="3">
        <v>0.41855786453262339</v>
      </c>
      <c r="G7" s="3">
        <v>0.28976699825706814</v>
      </c>
      <c r="H7" s="3">
        <v>0.36104819518310549</v>
      </c>
      <c r="I7" s="3">
        <v>0.404493611648298</v>
      </c>
      <c r="J7" s="3">
        <v>0.34396056187915836</v>
      </c>
      <c r="K7" s="3">
        <v>0.36094100671864193</v>
      </c>
      <c r="L7" s="3">
        <v>0.3161489697497612</v>
      </c>
      <c r="M7" s="3">
        <v>0.32949469064167863</v>
      </c>
      <c r="N7" s="3">
        <v>0.35501032430000645</v>
      </c>
      <c r="O7" s="3">
        <v>0.24389556413133215</v>
      </c>
      <c r="P7" s="3">
        <v>0.21380154794675055</v>
      </c>
      <c r="Q7" s="3">
        <v>0.16616878793531731</v>
      </c>
      <c r="R7" s="3">
        <v>0.24532212676827786</v>
      </c>
      <c r="S7" s="3">
        <v>0.26109291252800487</v>
      </c>
      <c r="T7" s="3">
        <v>5.584102237886769E-3</v>
      </c>
    </row>
    <row r="8" spans="1:20" ht="15.5">
      <c r="A8" s="2" t="s">
        <v>25</v>
      </c>
      <c r="B8" s="3">
        <v>0.19723451094649103</v>
      </c>
      <c r="C8" s="3">
        <v>7.3629865683337126E-2</v>
      </c>
      <c r="D8" s="3">
        <v>0.16323230181390475</v>
      </c>
      <c r="E8" s="3">
        <v>0.17156158866653518</v>
      </c>
      <c r="F8" s="3">
        <v>7.2280874151586169E-2</v>
      </c>
      <c r="G8" s="3">
        <v>0.10853610564619294</v>
      </c>
      <c r="H8" s="3">
        <v>9.0565773578024159E-2</v>
      </c>
      <c r="I8" s="3">
        <v>3.2527105443741468E-2</v>
      </c>
      <c r="J8" s="3">
        <v>0</v>
      </c>
      <c r="K8" s="3">
        <v>3.1904615897625492E-2</v>
      </c>
      <c r="L8" s="3">
        <v>0</v>
      </c>
      <c r="M8" s="3">
        <v>0</v>
      </c>
      <c r="N8" s="3">
        <v>2.9771717291127816E-2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ht="15.5">
      <c r="A9" s="2" t="s">
        <v>26</v>
      </c>
      <c r="B9" s="3">
        <v>8.0906498413990363E-2</v>
      </c>
      <c r="C9" s="3">
        <v>8.6880500967595684E-2</v>
      </c>
      <c r="D9" s="3">
        <v>0.11015017931720586</v>
      </c>
      <c r="E9" s="3">
        <v>8.801415121086463E-2</v>
      </c>
      <c r="F9" s="3">
        <v>0.19935605055266939</v>
      </c>
      <c r="G9" s="3">
        <v>0.1995570341537343</v>
      </c>
      <c r="H9" s="3">
        <v>0.17921697135587647</v>
      </c>
      <c r="I9" s="3">
        <v>0.18373025783241953</v>
      </c>
      <c r="J9" s="3">
        <v>0.27154328549110124</v>
      </c>
      <c r="K9" s="3">
        <v>0.2726480799099768</v>
      </c>
      <c r="L9" s="3">
        <v>0.29429420986132521</v>
      </c>
      <c r="M9" s="3">
        <v>0.3349424027531423</v>
      </c>
      <c r="N9" s="3">
        <v>0.26027435080388561</v>
      </c>
      <c r="O9" s="3">
        <v>0.3137568314511272</v>
      </c>
      <c r="P9" s="3">
        <v>0.29155083764431156</v>
      </c>
      <c r="Q9" s="3">
        <v>0.31224433356236009</v>
      </c>
      <c r="R9" s="3">
        <v>0.3012870794299024</v>
      </c>
      <c r="S9" s="3">
        <v>0.32370945905250587</v>
      </c>
      <c r="T9" s="3">
        <v>8.3167480138739112E-3</v>
      </c>
    </row>
    <row r="10" spans="1:20" ht="15.5">
      <c r="A10" s="2" t="s">
        <v>27</v>
      </c>
      <c r="B10" s="3">
        <v>5.5270692099094229E-2</v>
      </c>
      <c r="C10" s="3">
        <v>3.3987079171175195E-2</v>
      </c>
      <c r="D10" s="3">
        <v>4.276858897435358E-2</v>
      </c>
      <c r="E10" s="3">
        <v>7.0942705201805331E-2</v>
      </c>
      <c r="F10" s="3">
        <v>2.9644039708043898E-2</v>
      </c>
      <c r="G10" s="3">
        <v>0.13069768354366346</v>
      </c>
      <c r="H10" s="3">
        <v>7.0185493833050339E-2</v>
      </c>
      <c r="I10" s="3">
        <v>2.7281759153624879E-2</v>
      </c>
      <c r="J10" s="3">
        <v>2.3345006038256233E-2</v>
      </c>
      <c r="K10" s="3">
        <v>3.33343473442657E-2</v>
      </c>
      <c r="L10" s="3">
        <v>0</v>
      </c>
      <c r="M10" s="3">
        <v>5.1884265630743986E-4</v>
      </c>
      <c r="N10" s="3">
        <v>2.3618943734590756E-2</v>
      </c>
      <c r="O10" s="3">
        <v>1.6372798748717284E-3</v>
      </c>
      <c r="P10" s="3">
        <v>7.4900662523864833E-2</v>
      </c>
      <c r="Q10" s="3">
        <v>0</v>
      </c>
      <c r="R10" s="3">
        <v>0</v>
      </c>
      <c r="S10" s="3">
        <v>0</v>
      </c>
      <c r="T10" s="3">
        <v>0</v>
      </c>
    </row>
    <row r="11" spans="1:20" ht="15.5">
      <c r="A11" s="2" t="s">
        <v>28</v>
      </c>
      <c r="B11" s="3">
        <v>0</v>
      </c>
      <c r="C11" s="3">
        <v>5.9986338746803782E-3</v>
      </c>
      <c r="D11" s="3">
        <v>0</v>
      </c>
      <c r="E11" s="3">
        <v>0</v>
      </c>
      <c r="F11" s="3">
        <v>1.0360679147145876E-3</v>
      </c>
      <c r="G11" s="3">
        <v>1.2610847735433557E-2</v>
      </c>
      <c r="H11" s="3">
        <v>0</v>
      </c>
      <c r="I11" s="3">
        <v>0</v>
      </c>
      <c r="J11" s="3">
        <v>2.2275374523302912E-3</v>
      </c>
      <c r="K11" s="3">
        <v>1.5293248735920337E-3</v>
      </c>
      <c r="L11" s="3">
        <v>0</v>
      </c>
      <c r="M11" s="3">
        <v>1.0794066256232979E-3</v>
      </c>
      <c r="N11" s="3">
        <v>1.03716639407824E-3</v>
      </c>
      <c r="O11" s="3">
        <v>0</v>
      </c>
      <c r="P11" s="3">
        <v>2.9570475415451099E-3</v>
      </c>
      <c r="Q11" s="3">
        <v>4.832192179728698E-4</v>
      </c>
      <c r="R11" s="3">
        <v>6.2098259799618779E-4</v>
      </c>
      <c r="S11" s="3">
        <v>1.2815124543314623E-3</v>
      </c>
      <c r="T11" s="3">
        <v>0</v>
      </c>
    </row>
    <row r="12" spans="1:20" ht="15.5">
      <c r="A12" s="2" t="s">
        <v>29</v>
      </c>
      <c r="B12" s="3">
        <v>4.6034824586592055E-2</v>
      </c>
      <c r="C12" s="3">
        <v>6.1462059572919489E-2</v>
      </c>
      <c r="D12" s="3">
        <v>3.7512241900272372E-2</v>
      </c>
      <c r="E12" s="3">
        <v>5.0929185839225337E-2</v>
      </c>
      <c r="F12" s="3">
        <v>7.2152755963813098E-2</v>
      </c>
      <c r="G12" s="3">
        <v>7.2205716123856734E-2</v>
      </c>
      <c r="H12" s="3">
        <v>9.196964919934221E-2</v>
      </c>
      <c r="I12" s="3">
        <v>0.13799167444575419</v>
      </c>
      <c r="J12" s="3">
        <v>0.14697801267239258</v>
      </c>
      <c r="K12" s="3">
        <v>0.13201571053480243</v>
      </c>
      <c r="L12" s="3">
        <v>0.2064838316318931</v>
      </c>
      <c r="M12" s="3">
        <v>0.19334765573266058</v>
      </c>
      <c r="N12" s="3">
        <v>0.1462850852851843</v>
      </c>
      <c r="O12" s="3">
        <v>0.17088751835648469</v>
      </c>
      <c r="P12" s="3">
        <v>0.22228971838447653</v>
      </c>
      <c r="Q12" s="3">
        <v>0.30314685174802741</v>
      </c>
      <c r="R12" s="3">
        <v>0.20790145398407003</v>
      </c>
      <c r="S12" s="3">
        <v>0.17152174059392356</v>
      </c>
      <c r="T12" s="3">
        <v>0</v>
      </c>
    </row>
    <row r="13" spans="1:20" ht="15.5">
      <c r="A13" s="2" t="s">
        <v>30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ht="15.5">
      <c r="A14" s="2" t="s">
        <v>31</v>
      </c>
      <c r="B14" s="3">
        <v>9.2846400713226095E-3</v>
      </c>
      <c r="C14" s="3">
        <v>1.8582881183304121E-2</v>
      </c>
      <c r="D14" s="3">
        <v>6.8917185048574473E-3</v>
      </c>
      <c r="E14" s="3">
        <v>1.2489933999209153E-2</v>
      </c>
      <c r="F14" s="3">
        <v>2.755091982631639E-2</v>
      </c>
      <c r="G14" s="3">
        <v>3.5128229526108889E-2</v>
      </c>
      <c r="H14" s="3">
        <v>3.8531061036376921E-2</v>
      </c>
      <c r="I14" s="3">
        <v>6.1257344642285029E-2</v>
      </c>
      <c r="J14" s="3">
        <v>6.9563304853341557E-2</v>
      </c>
      <c r="K14" s="3">
        <v>6.0800816930506409E-2</v>
      </c>
      <c r="L14" s="3">
        <v>0.12851712624477304</v>
      </c>
      <c r="M14" s="3">
        <v>8.7126554011068613E-2</v>
      </c>
      <c r="N14" s="3">
        <v>6.5402540316550656E-2</v>
      </c>
      <c r="O14" s="3">
        <v>0.16299746916807667</v>
      </c>
      <c r="P14" s="3">
        <v>0.10633756419303671</v>
      </c>
      <c r="Q14" s="3">
        <v>0.20202786343566478</v>
      </c>
      <c r="R14" s="3">
        <v>0.12547490730556035</v>
      </c>
      <c r="S14" s="3">
        <v>9.7054825236435646E-2</v>
      </c>
      <c r="T14" s="3">
        <v>0.69111943405902365</v>
      </c>
    </row>
    <row r="15" spans="1:20" ht="15.5">
      <c r="A15" s="2" t="s">
        <v>32</v>
      </c>
      <c r="B15" s="3">
        <v>3.0027513484874309E-3</v>
      </c>
      <c r="C15" s="3">
        <v>0</v>
      </c>
      <c r="D15" s="3">
        <v>1.1550714633147326E-2</v>
      </c>
      <c r="E15" s="3">
        <v>1.4286372962212423E-2</v>
      </c>
      <c r="F15" s="3">
        <v>6.8545344457946215E-3</v>
      </c>
      <c r="G15" s="3">
        <v>0</v>
      </c>
      <c r="H15" s="3">
        <v>1.0876039593753118E-2</v>
      </c>
      <c r="I15" s="3">
        <v>5.6364012015189709E-3</v>
      </c>
      <c r="J15" s="3">
        <v>5.019295110826081E-3</v>
      </c>
      <c r="K15" s="3">
        <v>5.1642473657907261E-4</v>
      </c>
      <c r="L15" s="3">
        <v>0</v>
      </c>
      <c r="M15" s="3">
        <v>9.6860961521953726E-3</v>
      </c>
      <c r="N15" s="3">
        <v>0</v>
      </c>
      <c r="O15" s="3">
        <v>0</v>
      </c>
      <c r="P15" s="3">
        <v>5.1476358942008152E-3</v>
      </c>
      <c r="Q15" s="3">
        <v>0</v>
      </c>
      <c r="R15" s="3">
        <v>0</v>
      </c>
      <c r="S15" s="3">
        <v>0</v>
      </c>
      <c r="T15" s="3">
        <v>0</v>
      </c>
    </row>
    <row r="16" spans="1:20" ht="15.5">
      <c r="A16" s="2" t="s">
        <v>33</v>
      </c>
      <c r="B16" s="3">
        <v>0</v>
      </c>
      <c r="C16" s="3">
        <v>2.1888152047344271E-3</v>
      </c>
      <c r="D16" s="3">
        <v>0</v>
      </c>
      <c r="E16" s="3">
        <v>1.6298287029447217E-2</v>
      </c>
      <c r="F16" s="3">
        <v>8.9127771965262818E-4</v>
      </c>
      <c r="G16" s="3">
        <v>1.7266706852033398E-3</v>
      </c>
      <c r="H16" s="3">
        <v>4.8231246111948923E-3</v>
      </c>
      <c r="I16" s="3">
        <v>4.3783268180656709E-3</v>
      </c>
      <c r="J16" s="3">
        <v>2.2424568158485716E-2</v>
      </c>
      <c r="K16" s="3">
        <v>1.0584185834322031E-2</v>
      </c>
      <c r="L16" s="3">
        <v>0</v>
      </c>
      <c r="M16" s="3">
        <v>0</v>
      </c>
      <c r="N16" s="3">
        <v>0</v>
      </c>
      <c r="O16" s="3">
        <v>3.8926048250864764E-2</v>
      </c>
      <c r="P16" s="3">
        <v>2.6905741440736583E-2</v>
      </c>
      <c r="Q16" s="3">
        <v>0</v>
      </c>
      <c r="R16" s="3">
        <v>3.4873001175779101E-3</v>
      </c>
      <c r="S16" s="3">
        <v>0</v>
      </c>
      <c r="T16" s="3">
        <v>0</v>
      </c>
    </row>
    <row r="17" spans="1:20" ht="15.5">
      <c r="A17" s="2" t="s">
        <v>34</v>
      </c>
      <c r="B17" s="3">
        <v>0</v>
      </c>
      <c r="C17" s="3">
        <v>0</v>
      </c>
      <c r="D17" s="3">
        <v>0</v>
      </c>
      <c r="E17" s="3">
        <v>0</v>
      </c>
      <c r="F17" s="3">
        <v>1.3595589852987573E-2</v>
      </c>
      <c r="G17" s="3">
        <v>8.1924025789889641E-3</v>
      </c>
      <c r="H17" s="3">
        <v>0</v>
      </c>
      <c r="I17" s="3">
        <v>8.5011443804507551E-5</v>
      </c>
      <c r="J17" s="3">
        <v>1.4819014745399829E-2</v>
      </c>
      <c r="K17" s="3">
        <v>0</v>
      </c>
      <c r="L17" s="3">
        <v>0</v>
      </c>
      <c r="M17" s="3">
        <v>8.1073933822452069E-3</v>
      </c>
      <c r="N17" s="3">
        <v>1.2313950081544662E-2</v>
      </c>
      <c r="O17" s="3">
        <v>6.5784176779814865E-3</v>
      </c>
      <c r="P17" s="3">
        <v>2.032155270224381E-3</v>
      </c>
      <c r="Q17" s="3">
        <v>0</v>
      </c>
      <c r="R17" s="3">
        <v>0</v>
      </c>
      <c r="S17" s="3">
        <v>2.1965426312224257E-2</v>
      </c>
      <c r="T17" s="3">
        <v>0</v>
      </c>
    </row>
    <row r="18" spans="1:20" ht="15.5">
      <c r="A18" s="2" t="s">
        <v>35</v>
      </c>
      <c r="B18" s="3">
        <v>0</v>
      </c>
      <c r="C18" s="3">
        <v>2.4196090438824296E-2</v>
      </c>
      <c r="D18" s="3">
        <v>0</v>
      </c>
      <c r="E18" s="3">
        <v>0</v>
      </c>
      <c r="F18" s="3">
        <v>8.2542650107583701E-3</v>
      </c>
      <c r="G18" s="3">
        <v>2.3277563135200938E-3</v>
      </c>
      <c r="H18" s="3">
        <v>4.4076014308096776E-3</v>
      </c>
      <c r="I18" s="3">
        <v>2.78661813699971E-3</v>
      </c>
      <c r="J18" s="3">
        <v>3.2918949284130748E-3</v>
      </c>
      <c r="K18" s="3">
        <v>2.7829555248983355E-3</v>
      </c>
      <c r="L18" s="3">
        <v>0</v>
      </c>
      <c r="M18" s="3">
        <v>0</v>
      </c>
      <c r="N18" s="3">
        <v>2.6467550046104259E-2</v>
      </c>
      <c r="O18" s="3">
        <v>0</v>
      </c>
      <c r="P18" s="3">
        <v>1.2934496990263335E-2</v>
      </c>
      <c r="Q18" s="3">
        <v>0</v>
      </c>
      <c r="R18" s="3">
        <v>2.7375746461152026E-2</v>
      </c>
      <c r="S18" s="3">
        <v>3.9704571190791953E-2</v>
      </c>
      <c r="T18" s="3">
        <v>0.29497971568921555</v>
      </c>
    </row>
    <row r="19" spans="1:20" ht="15.5">
      <c r="A19" s="2" t="s">
        <v>36</v>
      </c>
      <c r="B19" s="3">
        <v>0</v>
      </c>
      <c r="C19" s="3">
        <v>0</v>
      </c>
      <c r="D19" s="3">
        <v>2.6355692940735913E-2</v>
      </c>
      <c r="E19" s="3">
        <v>1.9976493884715312E-3</v>
      </c>
      <c r="F19" s="3">
        <v>2.5520100734002116E-3</v>
      </c>
      <c r="G19" s="3">
        <v>8.432836830315666E-3</v>
      </c>
      <c r="H19" s="3">
        <v>1.5720717935250327E-2</v>
      </c>
      <c r="I19" s="3">
        <v>1.1710920039404745E-2</v>
      </c>
      <c r="J19" s="3">
        <v>4.8878086885694042E-3</v>
      </c>
      <c r="K19" s="3">
        <v>8.3670370746857514E-3</v>
      </c>
      <c r="L19" s="3">
        <v>0</v>
      </c>
      <c r="M19" s="3">
        <v>3.3184708957531232E-3</v>
      </c>
      <c r="N19" s="3">
        <v>1.1584092248674788E-3</v>
      </c>
      <c r="O19" s="3">
        <v>5.566653913968894E-5</v>
      </c>
      <c r="P19" s="3">
        <v>7.763501362219199E-3</v>
      </c>
      <c r="Q19" s="3">
        <v>1.0618640798311383E-2</v>
      </c>
      <c r="R19" s="3">
        <v>2.0165017769323421E-2</v>
      </c>
      <c r="S19" s="3">
        <v>0</v>
      </c>
      <c r="T19" s="3">
        <v>0</v>
      </c>
    </row>
    <row r="20" spans="1:20" ht="15.5">
      <c r="A20" s="2" t="s">
        <v>37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2.0470587146620249E-3</v>
      </c>
      <c r="I20" s="3">
        <v>1.041667225761005E-3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2.4725300459829888E-2</v>
      </c>
      <c r="T20" s="3">
        <v>0</v>
      </c>
    </row>
    <row r="21" spans="1:20" ht="15.5">
      <c r="A21" s="2" t="s">
        <v>38</v>
      </c>
      <c r="B21" s="3">
        <v>0</v>
      </c>
      <c r="C21" s="3">
        <v>0</v>
      </c>
      <c r="D21" s="3">
        <v>0</v>
      </c>
      <c r="E21" s="3">
        <v>0</v>
      </c>
      <c r="F21" s="3">
        <v>9.2458715510100001E-4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1.1914880001538519E-3</v>
      </c>
      <c r="Q21" s="3">
        <v>0</v>
      </c>
      <c r="R21" s="3">
        <v>0</v>
      </c>
      <c r="S21" s="3">
        <v>0</v>
      </c>
      <c r="T21" s="3">
        <v>0</v>
      </c>
    </row>
    <row r="22" spans="1:20" ht="15.5">
      <c r="A22" s="4" t="s">
        <v>39</v>
      </c>
      <c r="B22" s="5">
        <v>1</v>
      </c>
      <c r="C22" s="5">
        <v>0.99999999999999989</v>
      </c>
      <c r="D22" s="5">
        <v>1</v>
      </c>
      <c r="E22" s="5">
        <v>1.0000000000000002</v>
      </c>
      <c r="F22" s="5">
        <v>1.0000000000000007</v>
      </c>
      <c r="G22" s="5">
        <v>0.99999999999999978</v>
      </c>
      <c r="H22" s="5">
        <v>1.0000000000000007</v>
      </c>
      <c r="I22" s="5">
        <v>1.0000000000000009</v>
      </c>
      <c r="J22" s="5">
        <v>1</v>
      </c>
      <c r="K22" s="5">
        <v>1.0000000000000002</v>
      </c>
      <c r="L22" s="5">
        <v>1</v>
      </c>
      <c r="M22" s="5">
        <v>0.99999999999999922</v>
      </c>
      <c r="N22" s="5">
        <v>0.99999999999999989</v>
      </c>
      <c r="O22" s="5">
        <v>1.0000000000000004</v>
      </c>
      <c r="P22" s="5">
        <v>1</v>
      </c>
      <c r="Q22" s="5">
        <v>0.99999999999999956</v>
      </c>
      <c r="R22" s="5">
        <v>0.99999999999999967</v>
      </c>
      <c r="S22" s="5">
        <v>0.99999999999999989</v>
      </c>
      <c r="T22" s="5">
        <v>0.99999999999999989</v>
      </c>
    </row>
  </sheetData>
  <conditionalFormatting sqref="B3:T22">
    <cfRule type="cellIs" dxfId="8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0B154-61FE-45C0-B521-D9B266B2AC96}">
  <dimension ref="A1:O161"/>
  <sheetViews>
    <sheetView tabSelected="1" zoomScale="60" zoomScaleNormal="60" workbookViewId="0">
      <selection activeCell="A4" sqref="A4:N26"/>
    </sheetView>
  </sheetViews>
  <sheetFormatPr defaultRowHeight="22.5"/>
  <cols>
    <col min="1" max="1" width="24.25" bestFit="1" customWidth="1"/>
    <col min="2" max="2" width="27.58203125" customWidth="1"/>
    <col min="3" max="3" width="27.58203125" hidden="1" customWidth="1"/>
    <col min="4" max="4" width="20.83203125" customWidth="1"/>
    <col min="5" max="5" width="20.83203125" hidden="1" customWidth="1"/>
    <col min="6" max="6" width="26.33203125" customWidth="1"/>
    <col min="7" max="7" width="26.33203125" hidden="1" customWidth="1"/>
    <col min="8" max="8" width="26.33203125" customWidth="1"/>
    <col min="9" max="9" width="26.33203125" hidden="1" customWidth="1"/>
    <col min="10" max="10" width="30" customWidth="1"/>
    <col min="11" max="11" width="21.25" hidden="1" customWidth="1"/>
    <col min="12" max="12" width="24.33203125" customWidth="1"/>
    <col min="13" max="13" width="23.33203125" hidden="1" customWidth="1"/>
    <col min="14" max="14" width="23.33203125" customWidth="1"/>
    <col min="15" max="15" width="29.83203125" style="51" customWidth="1"/>
  </cols>
  <sheetData>
    <row r="1" spans="1:15" ht="25">
      <c r="A1" s="6" t="str">
        <f>IF(A3&gt;0,"Week "&amp;WEEKNUM(A3,1)," ")</f>
        <v>Week 37</v>
      </c>
      <c r="B1" s="32"/>
      <c r="C1" s="6" t="str">
        <f>IF(C3&gt;0,"Week "&amp;WEEKNUM(C3,1)," ")</f>
        <v>Week 37</v>
      </c>
      <c r="D1" s="32"/>
      <c r="E1" s="6" t="str">
        <f>IF(E3&gt;0,"Week "&amp;WEEKNUM(E3,1)," ")</f>
        <v>Week 38</v>
      </c>
      <c r="F1" s="32"/>
      <c r="G1" s="6" t="str">
        <f>IF(G3&gt;0,"Week "&amp;WEEKNUM(G3,1)," ")</f>
        <v>Week 38</v>
      </c>
      <c r="H1" s="32"/>
      <c r="I1" s="6" t="str">
        <f>IF(I3&gt;0,"Week "&amp;WEEKNUM(I3,1)," ")</f>
        <v>Week 38</v>
      </c>
      <c r="J1" s="32"/>
      <c r="K1" s="6" t="str">
        <f>IF(K3&gt;0,"Week "&amp;WEEKNUM(K3,1)," ")</f>
        <v>Week 38</v>
      </c>
      <c r="L1" s="32"/>
      <c r="M1" s="6" t="str">
        <f>IF(M3&gt;0,"Week "&amp;WEEKNUM(M3,1)," ")</f>
        <v>Week 38</v>
      </c>
      <c r="N1" s="32"/>
    </row>
    <row r="2" spans="1:15">
      <c r="A2" s="7"/>
      <c r="B2" s="33"/>
      <c r="C2" s="7"/>
      <c r="D2" s="33"/>
      <c r="E2" s="7"/>
      <c r="F2" s="33"/>
      <c r="G2" s="7"/>
      <c r="H2" s="33"/>
      <c r="I2" s="7"/>
      <c r="J2" s="33"/>
      <c r="K2" s="7"/>
      <c r="L2" s="33"/>
      <c r="M2" s="7"/>
      <c r="N2" s="33"/>
    </row>
    <row r="3" spans="1:15" ht="25">
      <c r="A3" s="8">
        <v>46275</v>
      </c>
      <c r="B3" s="34" t="str">
        <f>TEXT(B4,"ddd")</f>
        <v>Thu</v>
      </c>
      <c r="C3" s="8">
        <v>46276</v>
      </c>
      <c r="D3" s="34" t="str">
        <f>TEXT(D4,"ddd")</f>
        <v>Fri</v>
      </c>
      <c r="E3" s="8">
        <v>46279</v>
      </c>
      <c r="F3" s="34" t="str">
        <f>TEXT(F4,"ddd")</f>
        <v>Mon</v>
      </c>
      <c r="G3" s="8">
        <v>46280</v>
      </c>
      <c r="H3" s="34" t="str">
        <f>TEXT(H4,"ddd")</f>
        <v>Tue</v>
      </c>
      <c r="I3" s="8">
        <v>46280</v>
      </c>
      <c r="J3" s="34" t="str">
        <f>TEXT(J4,"ddd")</f>
        <v>Tue</v>
      </c>
      <c r="K3" s="8">
        <v>46281</v>
      </c>
      <c r="L3" s="34" t="str">
        <f>TEXT(L4,"ddd")</f>
        <v>Wed</v>
      </c>
      <c r="M3" s="8">
        <v>46282</v>
      </c>
      <c r="N3" s="34" t="str">
        <f>TEXT(N4,"ddd")</f>
        <v>Thu</v>
      </c>
      <c r="O3" s="50" t="s">
        <v>40</v>
      </c>
    </row>
    <row r="4" spans="1:15" ht="25">
      <c r="A4" s="9" t="s">
        <v>41</v>
      </c>
      <c r="B4" s="35">
        <f>A3</f>
        <v>46275</v>
      </c>
      <c r="C4" s="9" t="s">
        <v>41</v>
      </c>
      <c r="D4" s="35">
        <f>C3</f>
        <v>46276</v>
      </c>
      <c r="E4" s="9" t="s">
        <v>41</v>
      </c>
      <c r="F4" s="35">
        <f>E3</f>
        <v>46279</v>
      </c>
      <c r="G4" s="9" t="s">
        <v>41</v>
      </c>
      <c r="H4" s="35">
        <f>G3</f>
        <v>46280</v>
      </c>
      <c r="I4" s="9" t="s">
        <v>41</v>
      </c>
      <c r="J4" s="35">
        <f>I3</f>
        <v>46280</v>
      </c>
      <c r="K4" s="9" t="s">
        <v>41</v>
      </c>
      <c r="L4" s="35">
        <f>K3</f>
        <v>46281</v>
      </c>
      <c r="M4" s="9" t="s">
        <v>41</v>
      </c>
      <c r="N4" s="35">
        <f>M3</f>
        <v>46282</v>
      </c>
      <c r="O4" s="52"/>
    </row>
    <row r="5" spans="1:15" ht="75">
      <c r="A5" s="10" t="s">
        <v>42</v>
      </c>
      <c r="B5" s="49" t="s">
        <v>43</v>
      </c>
      <c r="C5" s="10" t="s">
        <v>42</v>
      </c>
      <c r="D5" s="49" t="s">
        <v>44</v>
      </c>
      <c r="E5" s="10" t="s">
        <v>42</v>
      </c>
      <c r="F5" s="49" t="s">
        <v>43</v>
      </c>
      <c r="G5" s="10" t="s">
        <v>42</v>
      </c>
      <c r="H5" s="49" t="s">
        <v>45</v>
      </c>
      <c r="I5" s="10" t="s">
        <v>42</v>
      </c>
      <c r="J5" s="49" t="s">
        <v>45</v>
      </c>
      <c r="K5" s="10" t="s">
        <v>42</v>
      </c>
      <c r="L5" s="49" t="s">
        <v>45</v>
      </c>
      <c r="M5" s="10" t="s">
        <v>42</v>
      </c>
      <c r="N5" s="49" t="s">
        <v>45</v>
      </c>
      <c r="O5" s="52"/>
    </row>
    <row r="6" spans="1:15" ht="25">
      <c r="A6" s="11" t="s">
        <v>46</v>
      </c>
      <c r="B6" s="37" t="s">
        <v>47</v>
      </c>
      <c r="C6" s="11" t="s">
        <v>46</v>
      </c>
      <c r="D6" s="37" t="s">
        <v>48</v>
      </c>
      <c r="E6" s="11" t="s">
        <v>46</v>
      </c>
      <c r="F6" s="37" t="s">
        <v>47</v>
      </c>
      <c r="G6" s="11" t="s">
        <v>46</v>
      </c>
      <c r="H6" s="37" t="s">
        <v>47</v>
      </c>
      <c r="I6" s="11" t="s">
        <v>46</v>
      </c>
      <c r="J6" s="37" t="s">
        <v>47</v>
      </c>
      <c r="K6" s="11" t="s">
        <v>46</v>
      </c>
      <c r="L6" s="37" t="s">
        <v>47</v>
      </c>
      <c r="M6" s="11" t="s">
        <v>46</v>
      </c>
      <c r="N6" s="37" t="s">
        <v>47</v>
      </c>
      <c r="O6" s="52"/>
    </row>
    <row r="7" spans="1:15" ht="25">
      <c r="A7" s="12" t="s">
        <v>49</v>
      </c>
      <c r="B7" s="36"/>
      <c r="C7" s="12" t="s">
        <v>49</v>
      </c>
      <c r="D7" s="36"/>
      <c r="E7" s="12" t="s">
        <v>49</v>
      </c>
      <c r="F7" s="36"/>
      <c r="G7" s="12" t="s">
        <v>49</v>
      </c>
      <c r="H7" s="36"/>
      <c r="I7" s="12" t="s">
        <v>49</v>
      </c>
      <c r="J7" s="36"/>
      <c r="K7" s="12" t="s">
        <v>49</v>
      </c>
      <c r="L7" s="36"/>
      <c r="M7" s="12" t="s">
        <v>49</v>
      </c>
      <c r="N7" s="36"/>
      <c r="O7" s="52"/>
    </row>
    <row r="8" spans="1:15">
      <c r="A8" s="11" t="s">
        <v>50</v>
      </c>
      <c r="B8" s="38">
        <v>80</v>
      </c>
      <c r="C8" s="11" t="s">
        <v>50</v>
      </c>
      <c r="D8" s="38">
        <v>80</v>
      </c>
      <c r="E8" s="11" t="s">
        <v>50</v>
      </c>
      <c r="F8" s="38">
        <v>80</v>
      </c>
      <c r="G8" s="11" t="s">
        <v>50</v>
      </c>
      <c r="H8" s="38">
        <v>80</v>
      </c>
      <c r="I8" s="11" t="s">
        <v>50</v>
      </c>
      <c r="J8" s="38">
        <v>80</v>
      </c>
      <c r="K8" s="11" t="s">
        <v>50</v>
      </c>
      <c r="L8" s="38">
        <v>80</v>
      </c>
      <c r="M8" s="11" t="s">
        <v>50</v>
      </c>
      <c r="N8" s="38">
        <v>80</v>
      </c>
      <c r="O8" s="52"/>
    </row>
    <row r="9" spans="1:15">
      <c r="A9" s="11" t="s">
        <v>51</v>
      </c>
      <c r="B9" s="39" t="s">
        <v>52</v>
      </c>
      <c r="C9" s="11" t="s">
        <v>51</v>
      </c>
      <c r="D9" s="39" t="s">
        <v>52</v>
      </c>
      <c r="E9" s="11" t="s">
        <v>51</v>
      </c>
      <c r="F9" s="39" t="s">
        <v>52</v>
      </c>
      <c r="G9" s="11" t="s">
        <v>51</v>
      </c>
      <c r="H9" s="39" t="s">
        <v>52</v>
      </c>
      <c r="I9" s="11" t="s">
        <v>51</v>
      </c>
      <c r="J9" s="39" t="s">
        <v>52</v>
      </c>
      <c r="K9" s="11" t="s">
        <v>51</v>
      </c>
      <c r="L9" s="39" t="s">
        <v>52</v>
      </c>
      <c r="M9" s="11" t="s">
        <v>51</v>
      </c>
      <c r="N9" s="39" t="s">
        <v>52</v>
      </c>
      <c r="O9" s="52"/>
    </row>
    <row r="10" spans="1:15">
      <c r="A10" s="11" t="s">
        <v>53</v>
      </c>
      <c r="B10" s="38">
        <v>6000</v>
      </c>
      <c r="C10" s="11" t="s">
        <v>53</v>
      </c>
      <c r="D10" s="38">
        <v>5500</v>
      </c>
      <c r="E10" s="11" t="s">
        <v>53</v>
      </c>
      <c r="F10" s="38">
        <v>6000</v>
      </c>
      <c r="G10" s="11" t="s">
        <v>53</v>
      </c>
      <c r="H10" s="38">
        <v>5000</v>
      </c>
      <c r="I10" s="11" t="s">
        <v>53</v>
      </c>
      <c r="J10" s="38">
        <v>5000</v>
      </c>
      <c r="K10" s="11" t="s">
        <v>53</v>
      </c>
      <c r="L10" s="38">
        <v>5000</v>
      </c>
      <c r="M10" s="11" t="s">
        <v>53</v>
      </c>
      <c r="N10" s="55">
        <v>5000</v>
      </c>
      <c r="O10" s="53"/>
    </row>
    <row r="11" spans="1:15">
      <c r="A11" s="13" t="s">
        <v>20</v>
      </c>
      <c r="B11" s="40">
        <f>IFERROR($B$10*INDEX(Master!$B$3:$T$21,MATCH($A11,Master!$A$3:$A$21,0),MATCH("S."&amp;B$8,Master!$B$2:$T$2,0)),0)</f>
        <v>0</v>
      </c>
      <c r="C11" s="13" t="s">
        <v>20</v>
      </c>
      <c r="D11" s="40">
        <f>IFERROR($D$10*INDEX(Master!$B$3:$T$21,MATCH($A11,Master!$A$3:$A$21,0),MATCH("S."&amp;D$8,Master!$B$2:$T$2,0)),0)</f>
        <v>0</v>
      </c>
      <c r="E11" s="13" t="s">
        <v>20</v>
      </c>
      <c r="F11" s="40">
        <f>IFERROR($F$10*INDEX(Master!$B$3:$T$21,MATCH($A11,Master!$A$3:$A$21,0),MATCH("S."&amp;F$8,Master!$B$2:$T$2,0)),0)</f>
        <v>0</v>
      </c>
      <c r="G11" s="13" t="s">
        <v>20</v>
      </c>
      <c r="H11" s="40">
        <f>IFERROR($H$10*INDEX(Master!$B$3:$T$21,MATCH($A11,Master!$A$3:$A$21,0),MATCH("S."&amp;H$8,Master!$B$2:$T$2,0)),0)</f>
        <v>0</v>
      </c>
      <c r="I11" s="13" t="s">
        <v>20</v>
      </c>
      <c r="J11" s="40">
        <f>IFERROR($J$10*INDEX(Master!$B$3:$T$21,MATCH($A11,Master!$A$3:$A$21,0),MATCH("S."&amp;J$8,Master!$B$2:$T$2,0)),0)</f>
        <v>0</v>
      </c>
      <c r="K11" s="13" t="s">
        <v>20</v>
      </c>
      <c r="L11" s="40">
        <f>IFERROR($J$10*INDEX(Master!$B$3:$T$21,MATCH($A11,Master!$A$3:$A$21,0),MATCH("S."&amp;L$8,Master!$B$2:$T$2,0)),0)</f>
        <v>0</v>
      </c>
      <c r="M11" s="13" t="s">
        <v>20</v>
      </c>
      <c r="N11" s="56">
        <f>IFERROR($J$10*INDEX(Master!$B$3:$T$21,MATCH($A11,Master!$A$3:$A$21,0),MATCH("S."&amp;N$8,Master!$B$2:$T$2,0)),0)</f>
        <v>0</v>
      </c>
      <c r="O11" s="54">
        <f>SUM(B11:N11)</f>
        <v>0</v>
      </c>
    </row>
    <row r="12" spans="1:15">
      <c r="A12" s="11" t="s">
        <v>21</v>
      </c>
      <c r="B12" s="59">
        <f>IFERROR($B$10*INDEX(Master!$B$3:$T$21,MATCH($A12,Master!$A$3:$A$21,0),MATCH("S."&amp;B$8,Master!$B$2:$T$2,0)),0)</f>
        <v>213.788302085509</v>
      </c>
      <c r="C12" s="60" t="s">
        <v>21</v>
      </c>
      <c r="D12" s="59">
        <f>IFERROR($D$10*INDEX(Master!$B$3:$T$21,MATCH($A12,Master!$A$3:$A$21,0),MATCH("S."&amp;D$8,Master!$B$2:$T$2,0)),0)</f>
        <v>195.97261024504991</v>
      </c>
      <c r="E12" s="60" t="s">
        <v>21</v>
      </c>
      <c r="F12" s="59">
        <f>IFERROR($F$10*INDEX(Master!$B$3:$T$21,MATCH($A12,Master!$A$3:$A$21,0),MATCH("S."&amp;F$8,Master!$B$2:$T$2,0)),0)</f>
        <v>213.788302085509</v>
      </c>
      <c r="G12" s="60" t="s">
        <v>21</v>
      </c>
      <c r="H12" s="59">
        <f>IFERROR($H$10*INDEX(Master!$B$3:$T$21,MATCH($A12,Master!$A$3:$A$21,0),MATCH("S."&amp;H$8,Master!$B$2:$T$2,0)),0)</f>
        <v>178.15691840459081</v>
      </c>
      <c r="I12" s="60" t="s">
        <v>21</v>
      </c>
      <c r="J12" s="59">
        <f>IFERROR($J$10*INDEX(Master!$B$3:$T$21,MATCH($A12,Master!$A$3:$A$21,0),MATCH("S."&amp;J$8,Master!$B$2:$T$2,0)),0)</f>
        <v>178.15691840459081</v>
      </c>
      <c r="K12" s="60" t="s">
        <v>21</v>
      </c>
      <c r="L12" s="59">
        <f>IFERROR($J$10*INDEX(Master!$B$3:$T$21,MATCH($A12,Master!$A$3:$A$21,0),MATCH("S."&amp;L$8,Master!$B$2:$T$2,0)),0)</f>
        <v>178.15691840459081</v>
      </c>
      <c r="M12" s="60" t="s">
        <v>21</v>
      </c>
      <c r="N12" s="61">
        <f>IFERROR($J$10*INDEX(Master!$B$3:$T$21,MATCH($A12,Master!$A$3:$A$21,0),MATCH("S."&amp;N$8,Master!$B$2:$T$2,0)),0)</f>
        <v>178.15691840459081</v>
      </c>
      <c r="O12" s="62">
        <f t="shared" ref="O12:O26" si="0">SUM(B12:N12)</f>
        <v>1336.1768880344312</v>
      </c>
    </row>
    <row r="13" spans="1:15">
      <c r="A13" s="14" t="s">
        <v>22</v>
      </c>
      <c r="B13" s="59">
        <f>IFERROR($B$10*INDEX(Master!$B$3:$T$21,MATCH($A13,Master!$A$3:$A$21,0),MATCH("S."&amp;B$8,Master!$B$2:$T$2,0)),0)</f>
        <v>242.3737781110006</v>
      </c>
      <c r="C13" s="60" t="s">
        <v>22</v>
      </c>
      <c r="D13" s="59">
        <f>IFERROR($D$10*INDEX(Master!$B$3:$T$21,MATCH($A13,Master!$A$3:$A$21,0),MATCH("S."&amp;D$8,Master!$B$2:$T$2,0)),0)</f>
        <v>222.17596326841721</v>
      </c>
      <c r="E13" s="60" t="s">
        <v>22</v>
      </c>
      <c r="F13" s="59">
        <f>IFERROR($F$10*INDEX(Master!$B$3:$T$21,MATCH($A13,Master!$A$3:$A$21,0),MATCH("S."&amp;F$8,Master!$B$2:$T$2,0)),0)</f>
        <v>242.3737781110006</v>
      </c>
      <c r="G13" s="60" t="s">
        <v>22</v>
      </c>
      <c r="H13" s="59">
        <f>IFERROR($H$10*INDEX(Master!$B$3:$T$21,MATCH($A13,Master!$A$3:$A$21,0),MATCH("S."&amp;H$8,Master!$B$2:$T$2,0)),0)</f>
        <v>201.97814842583384</v>
      </c>
      <c r="I13" s="60" t="s">
        <v>22</v>
      </c>
      <c r="J13" s="59">
        <f>IFERROR($J$10*INDEX(Master!$B$3:$T$21,MATCH($A13,Master!$A$3:$A$21,0),MATCH("S."&amp;J$8,Master!$B$2:$T$2,0)),0)</f>
        <v>201.97814842583384</v>
      </c>
      <c r="K13" s="60" t="s">
        <v>22</v>
      </c>
      <c r="L13" s="59">
        <f>IFERROR($J$10*INDEX(Master!$B$3:$T$21,MATCH($A13,Master!$A$3:$A$21,0),MATCH("S."&amp;L$8,Master!$B$2:$T$2,0)),0)</f>
        <v>201.97814842583384</v>
      </c>
      <c r="M13" s="60" t="s">
        <v>22</v>
      </c>
      <c r="N13" s="61">
        <f>IFERROR($J$10*INDEX(Master!$B$3:$T$21,MATCH($A13,Master!$A$3:$A$21,0),MATCH("S."&amp;N$8,Master!$B$2:$T$2,0)),0)</f>
        <v>201.97814842583384</v>
      </c>
      <c r="O13" s="62">
        <f t="shared" si="0"/>
        <v>1514.8361131937536</v>
      </c>
    </row>
    <row r="14" spans="1:15">
      <c r="A14" s="15" t="s">
        <v>23</v>
      </c>
      <c r="B14" s="40">
        <f>IFERROR($B$10*INDEX(Master!$B$3:$T$21,MATCH($A14,Master!$A$3:$A$21,0),MATCH("S."&amp;B$8,Master!$B$2:$T$2,0)),0)</f>
        <v>51.290887524115043</v>
      </c>
      <c r="C14" s="15" t="s">
        <v>23</v>
      </c>
      <c r="D14" s="40">
        <f>IFERROR($D$10*INDEX(Master!$B$3:$T$21,MATCH($A14,Master!$A$3:$A$21,0),MATCH("S."&amp;D$8,Master!$B$2:$T$2,0)),0)</f>
        <v>47.01664689710546</v>
      </c>
      <c r="E14" s="15" t="s">
        <v>23</v>
      </c>
      <c r="F14" s="40">
        <f>IFERROR($F$10*INDEX(Master!$B$3:$T$21,MATCH($A14,Master!$A$3:$A$21,0),MATCH("S."&amp;F$8,Master!$B$2:$T$2,0)),0)</f>
        <v>51.290887524115043</v>
      </c>
      <c r="G14" s="15" t="s">
        <v>23</v>
      </c>
      <c r="H14" s="40">
        <f>IFERROR($H$10*INDEX(Master!$B$3:$T$21,MATCH($A14,Master!$A$3:$A$21,0),MATCH("S."&amp;H$8,Master!$B$2:$T$2,0)),0)</f>
        <v>42.74240627009587</v>
      </c>
      <c r="I14" s="15" t="s">
        <v>23</v>
      </c>
      <c r="J14" s="40">
        <f>IFERROR($J$10*INDEX(Master!$B$3:$T$21,MATCH($A14,Master!$A$3:$A$21,0),MATCH("S."&amp;J$8,Master!$B$2:$T$2,0)),0)</f>
        <v>42.74240627009587</v>
      </c>
      <c r="K14" s="15" t="s">
        <v>23</v>
      </c>
      <c r="L14" s="40">
        <f>IFERROR($J$10*INDEX(Master!$B$3:$T$21,MATCH($A14,Master!$A$3:$A$21,0),MATCH("S."&amp;L$8,Master!$B$2:$T$2,0)),0)</f>
        <v>42.74240627009587</v>
      </c>
      <c r="M14" s="15" t="s">
        <v>23</v>
      </c>
      <c r="N14" s="56">
        <f>IFERROR($J$10*INDEX(Master!$B$3:$T$21,MATCH($A14,Master!$A$3:$A$21,0),MATCH("S."&amp;N$8,Master!$B$2:$T$2,0)),0)</f>
        <v>42.74240627009587</v>
      </c>
      <c r="O14" s="54">
        <f t="shared" si="0"/>
        <v>320.56804702571901</v>
      </c>
    </row>
    <row r="15" spans="1:15">
      <c r="A15" s="14" t="s">
        <v>24</v>
      </c>
      <c r="B15" s="40">
        <f>IFERROR($B$10*INDEX(Master!$B$3:$T$21,MATCH($A15,Master!$A$3:$A$21,0),MATCH("S."&amp;B$8,Master!$B$2:$T$2,0)),0)</f>
        <v>2165.6460403118517</v>
      </c>
      <c r="C15" s="14" t="s">
        <v>24</v>
      </c>
      <c r="D15" s="40">
        <f>IFERROR($D$10*INDEX(Master!$B$3:$T$21,MATCH($A15,Master!$A$3:$A$21,0),MATCH("S."&amp;D$8,Master!$B$2:$T$2,0)),0)</f>
        <v>1985.1755369525306</v>
      </c>
      <c r="E15" s="14" t="s">
        <v>24</v>
      </c>
      <c r="F15" s="40">
        <f>IFERROR($F$10*INDEX(Master!$B$3:$T$21,MATCH($A15,Master!$A$3:$A$21,0),MATCH("S."&amp;F$8,Master!$B$2:$T$2,0)),0)</f>
        <v>2165.6460403118517</v>
      </c>
      <c r="G15" s="14" t="s">
        <v>24</v>
      </c>
      <c r="H15" s="40">
        <f>IFERROR($H$10*INDEX(Master!$B$3:$T$21,MATCH($A15,Master!$A$3:$A$21,0),MATCH("S."&amp;H$8,Master!$B$2:$T$2,0)),0)</f>
        <v>1804.7050335932097</v>
      </c>
      <c r="I15" s="14" t="s">
        <v>24</v>
      </c>
      <c r="J15" s="40">
        <f>IFERROR($J$10*INDEX(Master!$B$3:$T$21,MATCH($A15,Master!$A$3:$A$21,0),MATCH("S."&amp;J$8,Master!$B$2:$T$2,0)),0)</f>
        <v>1804.7050335932097</v>
      </c>
      <c r="K15" s="14" t="s">
        <v>24</v>
      </c>
      <c r="L15" s="40">
        <f>IFERROR($J$10*INDEX(Master!$B$3:$T$21,MATCH($A15,Master!$A$3:$A$21,0),MATCH("S."&amp;L$8,Master!$B$2:$T$2,0)),0)</f>
        <v>1804.7050335932097</v>
      </c>
      <c r="M15" s="14" t="s">
        <v>24</v>
      </c>
      <c r="N15" s="56">
        <f>IFERROR($J$10*INDEX(Master!$B$3:$T$21,MATCH($A15,Master!$A$3:$A$21,0),MATCH("S."&amp;N$8,Master!$B$2:$T$2,0)),0)</f>
        <v>1804.7050335932097</v>
      </c>
      <c r="O15" s="54">
        <f t="shared" si="0"/>
        <v>13535.287751949072</v>
      </c>
    </row>
    <row r="16" spans="1:15">
      <c r="A16" s="16" t="s">
        <v>25</v>
      </c>
      <c r="B16" s="40">
        <f>IFERROR($B$10*INDEX(Master!$B$3:$T$21,MATCH($A16,Master!$A$3:$A$21,0),MATCH("S."&amp;B$8,Master!$B$2:$T$2,0)),0)</f>
        <v>191.42769538575294</v>
      </c>
      <c r="C16" s="16" t="s">
        <v>25</v>
      </c>
      <c r="D16" s="40">
        <f>IFERROR($D$10*INDEX(Master!$B$3:$T$21,MATCH($A16,Master!$A$3:$A$21,0),MATCH("S."&amp;D$8,Master!$B$2:$T$2,0)),0)</f>
        <v>175.4753874369402</v>
      </c>
      <c r="E16" s="16" t="s">
        <v>25</v>
      </c>
      <c r="F16" s="40">
        <f>IFERROR($F$10*INDEX(Master!$B$3:$T$21,MATCH($A16,Master!$A$3:$A$21,0),MATCH("S."&amp;F$8,Master!$B$2:$T$2,0)),0)</f>
        <v>191.42769538575294</v>
      </c>
      <c r="G16" s="16" t="s">
        <v>25</v>
      </c>
      <c r="H16" s="40">
        <f>IFERROR($H$10*INDEX(Master!$B$3:$T$21,MATCH($A16,Master!$A$3:$A$21,0),MATCH("S."&amp;H$8,Master!$B$2:$T$2,0)),0)</f>
        <v>159.52307948812745</v>
      </c>
      <c r="I16" s="16" t="s">
        <v>25</v>
      </c>
      <c r="J16" s="40">
        <f>IFERROR($J$10*INDEX(Master!$B$3:$T$21,MATCH($A16,Master!$A$3:$A$21,0),MATCH("S."&amp;J$8,Master!$B$2:$T$2,0)),0)</f>
        <v>159.52307948812745</v>
      </c>
      <c r="K16" s="16" t="s">
        <v>25</v>
      </c>
      <c r="L16" s="40">
        <f>IFERROR($J$10*INDEX(Master!$B$3:$T$21,MATCH($A16,Master!$A$3:$A$21,0),MATCH("S."&amp;L$8,Master!$B$2:$T$2,0)),0)</f>
        <v>159.52307948812745</v>
      </c>
      <c r="M16" s="16" t="s">
        <v>25</v>
      </c>
      <c r="N16" s="56">
        <f>IFERROR($J$10*INDEX(Master!$B$3:$T$21,MATCH($A16,Master!$A$3:$A$21,0),MATCH("S."&amp;N$8,Master!$B$2:$T$2,0)),0)</f>
        <v>159.52307948812745</v>
      </c>
      <c r="O16" s="54">
        <f t="shared" si="0"/>
        <v>1196.4230961609558</v>
      </c>
    </row>
    <row r="17" spans="1:15">
      <c r="A17" s="17" t="s">
        <v>26</v>
      </c>
      <c r="B17" s="40">
        <f>IFERROR($B$10*INDEX(Master!$B$3:$T$21,MATCH($A17,Master!$A$3:$A$21,0),MATCH("S."&amp;B$8,Master!$B$2:$T$2,0)),0)</f>
        <v>1635.8884794598607</v>
      </c>
      <c r="C17" s="17" t="s">
        <v>26</v>
      </c>
      <c r="D17" s="40">
        <f>IFERROR($D$10*INDEX(Master!$B$3:$T$21,MATCH($A17,Master!$A$3:$A$21,0),MATCH("S."&amp;D$8,Master!$B$2:$T$2,0)),0)</f>
        <v>1499.5644395048723</v>
      </c>
      <c r="E17" s="17" t="s">
        <v>26</v>
      </c>
      <c r="F17" s="40">
        <f>IFERROR($F$10*INDEX(Master!$B$3:$T$21,MATCH($A17,Master!$A$3:$A$21,0),MATCH("S."&amp;F$8,Master!$B$2:$T$2,0)),0)</f>
        <v>1635.8884794598607</v>
      </c>
      <c r="G17" s="17" t="s">
        <v>26</v>
      </c>
      <c r="H17" s="40">
        <f>IFERROR($H$10*INDEX(Master!$B$3:$T$21,MATCH($A17,Master!$A$3:$A$21,0),MATCH("S."&amp;H$8,Master!$B$2:$T$2,0)),0)</f>
        <v>1363.2403995498839</v>
      </c>
      <c r="I17" s="17" t="s">
        <v>26</v>
      </c>
      <c r="J17" s="40">
        <f>IFERROR($J$10*INDEX(Master!$B$3:$T$21,MATCH($A17,Master!$A$3:$A$21,0),MATCH("S."&amp;J$8,Master!$B$2:$T$2,0)),0)</f>
        <v>1363.2403995498839</v>
      </c>
      <c r="K17" s="17" t="s">
        <v>26</v>
      </c>
      <c r="L17" s="40">
        <f>IFERROR($J$10*INDEX(Master!$B$3:$T$21,MATCH($A17,Master!$A$3:$A$21,0),MATCH("S."&amp;L$8,Master!$B$2:$T$2,0)),0)</f>
        <v>1363.2403995498839</v>
      </c>
      <c r="M17" s="17" t="s">
        <v>26</v>
      </c>
      <c r="N17" s="56">
        <f>IFERROR($J$10*INDEX(Master!$B$3:$T$21,MATCH($A17,Master!$A$3:$A$21,0),MATCH("S."&amp;N$8,Master!$B$2:$T$2,0)),0)</f>
        <v>1363.2403995498839</v>
      </c>
      <c r="O17" s="54">
        <f t="shared" si="0"/>
        <v>10224.30299662413</v>
      </c>
    </row>
    <row r="18" spans="1:15">
      <c r="A18" s="14" t="s">
        <v>27</v>
      </c>
      <c r="B18" s="40">
        <f>IFERROR($B$10*INDEX(Master!$B$3:$T$21,MATCH($A18,Master!$A$3:$A$21,0),MATCH("S."&amp;B$8,Master!$B$2:$T$2,0)),0)</f>
        <v>200.00608406559419</v>
      </c>
      <c r="C18" s="14" t="s">
        <v>27</v>
      </c>
      <c r="D18" s="40">
        <f>IFERROR($D$10*INDEX(Master!$B$3:$T$21,MATCH($A18,Master!$A$3:$A$21,0),MATCH("S."&amp;D$8,Master!$B$2:$T$2,0)),0)</f>
        <v>183.33891039346136</v>
      </c>
      <c r="E18" s="14" t="s">
        <v>27</v>
      </c>
      <c r="F18" s="40">
        <f>IFERROR($F$10*INDEX(Master!$B$3:$T$21,MATCH($A18,Master!$A$3:$A$21,0),MATCH("S."&amp;F$8,Master!$B$2:$T$2,0)),0)</f>
        <v>200.00608406559419</v>
      </c>
      <c r="G18" s="14" t="s">
        <v>27</v>
      </c>
      <c r="H18" s="40">
        <f>IFERROR($H$10*INDEX(Master!$B$3:$T$21,MATCH($A18,Master!$A$3:$A$21,0),MATCH("S."&amp;H$8,Master!$B$2:$T$2,0)),0)</f>
        <v>166.6717367213285</v>
      </c>
      <c r="I18" s="14" t="s">
        <v>27</v>
      </c>
      <c r="J18" s="40">
        <f>IFERROR($J$10*INDEX(Master!$B$3:$T$21,MATCH($A18,Master!$A$3:$A$21,0),MATCH("S."&amp;J$8,Master!$B$2:$T$2,0)),0)</f>
        <v>166.6717367213285</v>
      </c>
      <c r="K18" s="14" t="s">
        <v>27</v>
      </c>
      <c r="L18" s="40">
        <f>IFERROR($J$10*INDEX(Master!$B$3:$T$21,MATCH($A18,Master!$A$3:$A$21,0),MATCH("S."&amp;L$8,Master!$B$2:$T$2,0)),0)</f>
        <v>166.6717367213285</v>
      </c>
      <c r="M18" s="14" t="s">
        <v>27</v>
      </c>
      <c r="N18" s="56">
        <f>IFERROR($J$10*INDEX(Master!$B$3:$T$21,MATCH($A18,Master!$A$3:$A$21,0),MATCH("S."&amp;N$8,Master!$B$2:$T$2,0)),0)</f>
        <v>166.6717367213285</v>
      </c>
      <c r="O18" s="54">
        <f t="shared" si="0"/>
        <v>1250.0380254099637</v>
      </c>
    </row>
    <row r="19" spans="1:15">
      <c r="A19" s="14" t="s">
        <v>28</v>
      </c>
      <c r="B19" s="40">
        <f>IFERROR($B$10*INDEX(Master!$B$3:$T$21,MATCH($A19,Master!$A$3:$A$21,0),MATCH("S."&amp;B$8,Master!$B$2:$T$2,0)),0)</f>
        <v>9.1759492415522015</v>
      </c>
      <c r="C19" s="14" t="s">
        <v>28</v>
      </c>
      <c r="D19" s="40">
        <f>IFERROR($D$10*INDEX(Master!$B$3:$T$21,MATCH($A19,Master!$A$3:$A$21,0),MATCH("S."&amp;D$8,Master!$B$2:$T$2,0)),0)</f>
        <v>8.4112868047561857</v>
      </c>
      <c r="E19" s="14" t="s">
        <v>28</v>
      </c>
      <c r="F19" s="40">
        <f>IFERROR($F$10*INDEX(Master!$B$3:$T$21,MATCH($A19,Master!$A$3:$A$21,0),MATCH("S."&amp;F$8,Master!$B$2:$T$2,0)),0)</f>
        <v>9.1759492415522015</v>
      </c>
      <c r="G19" s="14" t="s">
        <v>28</v>
      </c>
      <c r="H19" s="40">
        <f>IFERROR($H$10*INDEX(Master!$B$3:$T$21,MATCH($A19,Master!$A$3:$A$21,0),MATCH("S."&amp;H$8,Master!$B$2:$T$2,0)),0)</f>
        <v>7.6466243679601682</v>
      </c>
      <c r="I19" s="14" t="s">
        <v>28</v>
      </c>
      <c r="J19" s="40">
        <f>IFERROR($J$10*INDEX(Master!$B$3:$T$21,MATCH($A19,Master!$A$3:$A$21,0),MATCH("S."&amp;J$8,Master!$B$2:$T$2,0)),0)</f>
        <v>7.6466243679601682</v>
      </c>
      <c r="K19" s="14" t="s">
        <v>28</v>
      </c>
      <c r="L19" s="40">
        <f>IFERROR($J$10*INDEX(Master!$B$3:$T$21,MATCH($A19,Master!$A$3:$A$21,0),MATCH("S."&amp;L$8,Master!$B$2:$T$2,0)),0)</f>
        <v>7.6466243679601682</v>
      </c>
      <c r="M19" s="14" t="s">
        <v>28</v>
      </c>
      <c r="N19" s="56">
        <f>IFERROR($J$10*INDEX(Master!$B$3:$T$21,MATCH($A19,Master!$A$3:$A$21,0),MATCH("S."&amp;N$8,Master!$B$2:$T$2,0)),0)</f>
        <v>7.6466243679601682</v>
      </c>
      <c r="O19" s="54">
        <f t="shared" si="0"/>
        <v>57.349682759701267</v>
      </c>
    </row>
    <row r="20" spans="1:15">
      <c r="A20" s="16" t="s">
        <v>29</v>
      </c>
      <c r="B20" s="40">
        <f>IFERROR($B$10*INDEX(Master!$B$3:$T$21,MATCH($A20,Master!$A$3:$A$21,0),MATCH("S."&amp;B$8,Master!$B$2:$T$2,0)),0)</f>
        <v>792.0942632088146</v>
      </c>
      <c r="C20" s="16" t="s">
        <v>29</v>
      </c>
      <c r="D20" s="40">
        <f>IFERROR($D$10*INDEX(Master!$B$3:$T$21,MATCH($A20,Master!$A$3:$A$21,0),MATCH("S."&amp;D$8,Master!$B$2:$T$2,0)),0)</f>
        <v>726.08640794141343</v>
      </c>
      <c r="E20" s="16" t="s">
        <v>29</v>
      </c>
      <c r="F20" s="40">
        <f>IFERROR($F$10*INDEX(Master!$B$3:$T$21,MATCH($A20,Master!$A$3:$A$21,0),MATCH("S."&amp;F$8,Master!$B$2:$T$2,0)),0)</f>
        <v>792.0942632088146</v>
      </c>
      <c r="G20" s="16" t="s">
        <v>29</v>
      </c>
      <c r="H20" s="40">
        <f>IFERROR($H$10*INDEX(Master!$B$3:$T$21,MATCH($A20,Master!$A$3:$A$21,0),MATCH("S."&amp;H$8,Master!$B$2:$T$2,0)),0)</f>
        <v>660.07855267401214</v>
      </c>
      <c r="I20" s="16" t="s">
        <v>29</v>
      </c>
      <c r="J20" s="40">
        <f>IFERROR($J$10*INDEX(Master!$B$3:$T$21,MATCH($A20,Master!$A$3:$A$21,0),MATCH("S."&amp;J$8,Master!$B$2:$T$2,0)),0)</f>
        <v>660.07855267401214</v>
      </c>
      <c r="K20" s="16" t="s">
        <v>29</v>
      </c>
      <c r="L20" s="40">
        <f>IFERROR($J$10*INDEX(Master!$B$3:$T$21,MATCH($A20,Master!$A$3:$A$21,0),MATCH("S."&amp;L$8,Master!$B$2:$T$2,0)),0)</f>
        <v>660.07855267401214</v>
      </c>
      <c r="M20" s="16" t="s">
        <v>29</v>
      </c>
      <c r="N20" s="56">
        <f>IFERROR($J$10*INDEX(Master!$B$3:$T$21,MATCH($A20,Master!$A$3:$A$21,0),MATCH("S."&amp;N$8,Master!$B$2:$T$2,0)),0)</f>
        <v>660.07855267401214</v>
      </c>
      <c r="O20" s="54">
        <f t="shared" si="0"/>
        <v>4950.5891450550907</v>
      </c>
    </row>
    <row r="21" spans="1:15">
      <c r="A21" s="16" t="s">
        <v>30</v>
      </c>
      <c r="B21" s="40">
        <f>IFERROR($B$10*INDEX(Master!$B$3:$T$21,MATCH($A21,Master!$A$3:$A$21,0),MATCH("S."&amp;B$8,Master!$B$2:$T$2,0)),0)</f>
        <v>0</v>
      </c>
      <c r="C21" s="16" t="s">
        <v>30</v>
      </c>
      <c r="D21" s="40">
        <f>IFERROR($D$10*INDEX(Master!$B$3:$T$21,MATCH($A21,Master!$A$3:$A$21,0),MATCH("S."&amp;D$8,Master!$B$2:$T$2,0)),0)</f>
        <v>0</v>
      </c>
      <c r="E21" s="16" t="s">
        <v>30</v>
      </c>
      <c r="F21" s="40">
        <f>IFERROR($F$10*INDEX(Master!$B$3:$T$21,MATCH($A21,Master!$A$3:$A$21,0),MATCH("S."&amp;F$8,Master!$B$2:$T$2,0)),0)</f>
        <v>0</v>
      </c>
      <c r="G21" s="16" t="s">
        <v>30</v>
      </c>
      <c r="H21" s="40">
        <f>IFERROR($H$10*INDEX(Master!$B$3:$T$21,MATCH($A21,Master!$A$3:$A$21,0),MATCH("S."&amp;H$8,Master!$B$2:$T$2,0)),0)</f>
        <v>0</v>
      </c>
      <c r="I21" s="16" t="s">
        <v>30</v>
      </c>
      <c r="J21" s="40">
        <f>IFERROR($J$10*INDEX(Master!$B$3:$T$21,MATCH($A21,Master!$A$3:$A$21,0),MATCH("S."&amp;J$8,Master!$B$2:$T$2,0)),0)</f>
        <v>0</v>
      </c>
      <c r="K21" s="16" t="s">
        <v>30</v>
      </c>
      <c r="L21" s="40">
        <f>IFERROR($J$10*INDEX(Master!$B$3:$T$21,MATCH($A21,Master!$A$3:$A$21,0),MATCH("S."&amp;L$8,Master!$B$2:$T$2,0)),0)</f>
        <v>0</v>
      </c>
      <c r="M21" s="16" t="s">
        <v>30</v>
      </c>
      <c r="N21" s="56">
        <f>IFERROR($J$10*INDEX(Master!$B$3:$T$21,MATCH($A21,Master!$A$3:$A$21,0),MATCH("S."&amp;N$8,Master!$B$2:$T$2,0)),0)</f>
        <v>0</v>
      </c>
      <c r="O21" s="54">
        <f t="shared" si="0"/>
        <v>0</v>
      </c>
    </row>
    <row r="22" spans="1:15">
      <c r="A22" s="14" t="s">
        <v>31</v>
      </c>
      <c r="B22" s="40">
        <f>IFERROR($B$10*INDEX(Master!$B$3:$T$21,MATCH($A22,Master!$A$3:$A$21,0),MATCH("S."&amp;B$8,Master!$B$2:$T$2,0)),0)</f>
        <v>364.80490158303843</v>
      </c>
      <c r="C22" s="14" t="s">
        <v>31</v>
      </c>
      <c r="D22" s="40">
        <f>IFERROR($D$10*INDEX(Master!$B$3:$T$21,MATCH($A22,Master!$A$3:$A$21,0),MATCH("S."&amp;D$8,Master!$B$2:$T$2,0)),0)</f>
        <v>334.40449311778525</v>
      </c>
      <c r="E22" s="14" t="s">
        <v>31</v>
      </c>
      <c r="F22" s="40">
        <f>IFERROR($F$10*INDEX(Master!$B$3:$T$21,MATCH($A22,Master!$A$3:$A$21,0),MATCH("S."&amp;F$8,Master!$B$2:$T$2,0)),0)</f>
        <v>364.80490158303843</v>
      </c>
      <c r="G22" s="14" t="s">
        <v>31</v>
      </c>
      <c r="H22" s="40">
        <f>IFERROR($H$10*INDEX(Master!$B$3:$T$21,MATCH($A22,Master!$A$3:$A$21,0),MATCH("S."&amp;H$8,Master!$B$2:$T$2,0)),0)</f>
        <v>304.00408465253201</v>
      </c>
      <c r="I22" s="14" t="s">
        <v>31</v>
      </c>
      <c r="J22" s="40">
        <f>IFERROR($J$10*INDEX(Master!$B$3:$T$21,MATCH($A22,Master!$A$3:$A$21,0),MATCH("S."&amp;J$8,Master!$B$2:$T$2,0)),0)</f>
        <v>304.00408465253201</v>
      </c>
      <c r="K22" s="14" t="s">
        <v>31</v>
      </c>
      <c r="L22" s="40">
        <f>IFERROR($J$10*INDEX(Master!$B$3:$T$21,MATCH($A22,Master!$A$3:$A$21,0),MATCH("S."&amp;L$8,Master!$B$2:$T$2,0)),0)</f>
        <v>304.00408465253201</v>
      </c>
      <c r="M22" s="14" t="s">
        <v>31</v>
      </c>
      <c r="N22" s="56">
        <f>IFERROR($J$10*INDEX(Master!$B$3:$T$21,MATCH($A22,Master!$A$3:$A$21,0),MATCH("S."&amp;N$8,Master!$B$2:$T$2,0)),0)</f>
        <v>304.00408465253201</v>
      </c>
      <c r="O22" s="54">
        <f t="shared" si="0"/>
        <v>2280.0306348939903</v>
      </c>
    </row>
    <row r="23" spans="1:15">
      <c r="A23" s="14" t="s">
        <v>32</v>
      </c>
      <c r="B23" s="40">
        <f>IFERROR($B$10*INDEX(Master!$B$3:$T$21,MATCH($A23,Master!$A$3:$A$21,0),MATCH("S."&amp;B$8,Master!$B$2:$T$2,0)),0)</f>
        <v>3.0985484194744357</v>
      </c>
      <c r="C23" s="14" t="s">
        <v>32</v>
      </c>
      <c r="D23" s="40">
        <f>IFERROR($D$10*INDEX(Master!$B$3:$T$21,MATCH($A23,Master!$A$3:$A$21,0),MATCH("S."&amp;D$8,Master!$B$2:$T$2,0)),0)</f>
        <v>2.8403360511848992</v>
      </c>
      <c r="E23" s="14" t="s">
        <v>32</v>
      </c>
      <c r="F23" s="40">
        <f>IFERROR($F$10*INDEX(Master!$B$3:$T$21,MATCH($A23,Master!$A$3:$A$21,0),MATCH("S."&amp;F$8,Master!$B$2:$T$2,0)),0)</f>
        <v>3.0985484194744357</v>
      </c>
      <c r="G23" s="14" t="s">
        <v>32</v>
      </c>
      <c r="H23" s="40">
        <f>IFERROR($H$10*INDEX(Master!$B$3:$T$21,MATCH($A23,Master!$A$3:$A$21,0),MATCH("S."&amp;H$8,Master!$B$2:$T$2,0)),0)</f>
        <v>2.5821236828953631</v>
      </c>
      <c r="I23" s="14" t="s">
        <v>32</v>
      </c>
      <c r="J23" s="40">
        <f>IFERROR($J$10*INDEX(Master!$B$3:$T$21,MATCH($A23,Master!$A$3:$A$21,0),MATCH("S."&amp;J$8,Master!$B$2:$T$2,0)),0)</f>
        <v>2.5821236828953631</v>
      </c>
      <c r="K23" s="14" t="s">
        <v>32</v>
      </c>
      <c r="L23" s="40">
        <f>IFERROR($J$10*INDEX(Master!$B$3:$T$21,MATCH($A23,Master!$A$3:$A$21,0),MATCH("S."&amp;L$8,Master!$B$2:$T$2,0)),0)</f>
        <v>2.5821236828953631</v>
      </c>
      <c r="M23" s="14" t="s">
        <v>32</v>
      </c>
      <c r="N23" s="56">
        <f>IFERROR($J$10*INDEX(Master!$B$3:$T$21,MATCH($A23,Master!$A$3:$A$21,0),MATCH("S."&amp;N$8,Master!$B$2:$T$2,0)),0)</f>
        <v>2.5821236828953631</v>
      </c>
      <c r="O23" s="54">
        <f t="shared" si="0"/>
        <v>19.365927621715226</v>
      </c>
    </row>
    <row r="24" spans="1:15">
      <c r="A24" s="16" t="s">
        <v>33</v>
      </c>
      <c r="B24" s="40">
        <f>IFERROR($B$10*INDEX(Master!$B$3:$T$21,MATCH($A24,Master!$A$3:$A$21,0),MATCH("S."&amp;B$8,Master!$B$2:$T$2,0)),0)</f>
        <v>63.505115005932183</v>
      </c>
      <c r="C24" s="16" t="s">
        <v>33</v>
      </c>
      <c r="D24" s="40">
        <f>IFERROR($D$10*INDEX(Master!$B$3:$T$21,MATCH($A24,Master!$A$3:$A$21,0),MATCH("S."&amp;D$8,Master!$B$2:$T$2,0)),0)</f>
        <v>58.213022088771169</v>
      </c>
      <c r="E24" s="16" t="s">
        <v>33</v>
      </c>
      <c r="F24" s="40">
        <f>IFERROR($F$10*INDEX(Master!$B$3:$T$21,MATCH($A24,Master!$A$3:$A$21,0),MATCH("S."&amp;F$8,Master!$B$2:$T$2,0)),0)</f>
        <v>63.505115005932183</v>
      </c>
      <c r="G24" s="16" t="s">
        <v>33</v>
      </c>
      <c r="H24" s="40">
        <f>IFERROR($H$10*INDEX(Master!$B$3:$T$21,MATCH($A24,Master!$A$3:$A$21,0),MATCH("S."&amp;H$8,Master!$B$2:$T$2,0)),0)</f>
        <v>52.920929171610155</v>
      </c>
      <c r="I24" s="16" t="s">
        <v>33</v>
      </c>
      <c r="J24" s="40">
        <f>IFERROR($J$10*INDEX(Master!$B$3:$T$21,MATCH($A24,Master!$A$3:$A$21,0),MATCH("S."&amp;J$8,Master!$B$2:$T$2,0)),0)</f>
        <v>52.920929171610155</v>
      </c>
      <c r="K24" s="16" t="s">
        <v>33</v>
      </c>
      <c r="L24" s="40">
        <f>IFERROR($J$10*INDEX(Master!$B$3:$T$21,MATCH($A24,Master!$A$3:$A$21,0),MATCH("S."&amp;L$8,Master!$B$2:$T$2,0)),0)</f>
        <v>52.920929171610155</v>
      </c>
      <c r="M24" s="16" t="s">
        <v>33</v>
      </c>
      <c r="N24" s="56">
        <f>IFERROR($J$10*INDEX(Master!$B$3:$T$21,MATCH($A24,Master!$A$3:$A$21,0),MATCH("S."&amp;N$8,Master!$B$2:$T$2,0)),0)</f>
        <v>52.920929171610155</v>
      </c>
      <c r="O24" s="54">
        <f t="shared" si="0"/>
        <v>396.90696878707621</v>
      </c>
    </row>
    <row r="25" spans="1:15">
      <c r="A25" s="18" t="s">
        <v>54</v>
      </c>
      <c r="B25" s="41">
        <f>B10-SUM(B11:B24)</f>
        <v>66.899955597503322</v>
      </c>
      <c r="C25" s="18" t="s">
        <v>54</v>
      </c>
      <c r="D25" s="41">
        <f t="shared" ref="D25:J25" si="1">D10-SUM(D11:D24)</f>
        <v>61.324959297712667</v>
      </c>
      <c r="E25" s="18" t="s">
        <v>54</v>
      </c>
      <c r="F25" s="41">
        <f t="shared" si="1"/>
        <v>66.899955597503322</v>
      </c>
      <c r="G25" s="18" t="s">
        <v>54</v>
      </c>
      <c r="H25" s="41">
        <f t="shared" si="1"/>
        <v>55.749962997921102</v>
      </c>
      <c r="I25" s="18" t="s">
        <v>54</v>
      </c>
      <c r="J25" s="41">
        <f t="shared" si="1"/>
        <v>55.749962997921102</v>
      </c>
      <c r="K25" s="18" t="s">
        <v>54</v>
      </c>
      <c r="L25" s="41">
        <f t="shared" ref="L25" si="2">L10-SUM(L11:L24)</f>
        <v>55.749962997921102</v>
      </c>
      <c r="M25" s="18" t="s">
        <v>54</v>
      </c>
      <c r="N25" s="57">
        <f t="shared" ref="N25" si="3">N10-SUM(N11:N24)</f>
        <v>55.749962997921102</v>
      </c>
      <c r="O25" s="54">
        <f t="shared" si="0"/>
        <v>418.12472248440372</v>
      </c>
    </row>
    <row r="26" spans="1:15" ht="25">
      <c r="A26" s="19" t="s">
        <v>55</v>
      </c>
      <c r="B26" s="42">
        <f>SUM(B11:B25)</f>
        <v>6000</v>
      </c>
      <c r="C26" s="19" t="s">
        <v>55</v>
      </c>
      <c r="D26" s="42">
        <f>SUM(D11:D25)</f>
        <v>5500</v>
      </c>
      <c r="E26" s="19" t="s">
        <v>55</v>
      </c>
      <c r="F26" s="42">
        <f>SUM(F11:F25)</f>
        <v>6000</v>
      </c>
      <c r="G26" s="19" t="s">
        <v>55</v>
      </c>
      <c r="H26" s="42">
        <f>SUM(H11:H25)</f>
        <v>5000</v>
      </c>
      <c r="I26" s="19" t="s">
        <v>55</v>
      </c>
      <c r="J26" s="42">
        <f>SUM(J11:J25)</f>
        <v>5000</v>
      </c>
      <c r="K26" s="19" t="s">
        <v>55</v>
      </c>
      <c r="L26" s="42">
        <f>SUM(L11:L25)</f>
        <v>5000</v>
      </c>
      <c r="M26" s="19" t="s">
        <v>55</v>
      </c>
      <c r="N26" s="42">
        <f>SUM(N11:N25)</f>
        <v>5000</v>
      </c>
      <c r="O26" s="58">
        <f t="shared" si="0"/>
        <v>37500</v>
      </c>
    </row>
    <row r="27" spans="1:15">
      <c r="A27" s="20" t="s">
        <v>56</v>
      </c>
      <c r="B27" s="43" t="s">
        <v>57</v>
      </c>
      <c r="C27" s="20" t="s">
        <v>56</v>
      </c>
      <c r="D27" s="43" t="s">
        <v>57</v>
      </c>
      <c r="E27" s="20" t="s">
        <v>56</v>
      </c>
      <c r="F27" s="43" t="s">
        <v>57</v>
      </c>
      <c r="G27" s="20" t="s">
        <v>56</v>
      </c>
      <c r="H27" s="43" t="s">
        <v>57</v>
      </c>
      <c r="I27" s="20" t="s">
        <v>56</v>
      </c>
      <c r="J27" s="43" t="s">
        <v>57</v>
      </c>
      <c r="K27" s="20" t="s">
        <v>56</v>
      </c>
      <c r="L27" s="43" t="s">
        <v>57</v>
      </c>
      <c r="M27" s="20" t="s">
        <v>56</v>
      </c>
      <c r="N27" s="43" t="s">
        <v>57</v>
      </c>
    </row>
    <row r="28" spans="1:15">
      <c r="A28" s="21" t="s">
        <v>58</v>
      </c>
      <c r="B28" s="44">
        <v>20</v>
      </c>
      <c r="C28" s="21" t="s">
        <v>58</v>
      </c>
      <c r="D28" s="44">
        <v>20</v>
      </c>
      <c r="E28" s="21" t="s">
        <v>58</v>
      </c>
      <c r="F28" s="44">
        <v>20</v>
      </c>
      <c r="G28" s="21" t="s">
        <v>58</v>
      </c>
      <c r="H28" s="44">
        <v>20</v>
      </c>
      <c r="I28" s="21" t="s">
        <v>58</v>
      </c>
      <c r="J28" s="44">
        <v>20</v>
      </c>
      <c r="K28" s="21" t="s">
        <v>58</v>
      </c>
      <c r="L28" s="44">
        <v>20</v>
      </c>
      <c r="M28" s="21" t="s">
        <v>58</v>
      </c>
      <c r="N28" s="44">
        <v>20</v>
      </c>
    </row>
    <row r="29" spans="1:15" ht="25">
      <c r="A29" s="22" t="s">
        <v>59</v>
      </c>
      <c r="B29" s="45"/>
      <c r="C29" s="22" t="s">
        <v>59</v>
      </c>
      <c r="D29" s="45"/>
      <c r="E29" s="22" t="s">
        <v>59</v>
      </c>
      <c r="F29" s="45"/>
      <c r="G29" s="22" t="s">
        <v>59</v>
      </c>
      <c r="H29" s="45"/>
      <c r="I29" s="22" t="s">
        <v>59</v>
      </c>
      <c r="J29" s="45"/>
      <c r="K29" s="22" t="s">
        <v>59</v>
      </c>
      <c r="L29" s="45"/>
      <c r="M29" s="22" t="s">
        <v>59</v>
      </c>
      <c r="N29" s="45"/>
    </row>
    <row r="30" spans="1:15">
      <c r="A30" s="23" t="s">
        <v>60</v>
      </c>
      <c r="B30" s="46">
        <v>0.05</v>
      </c>
      <c r="C30" s="23" t="s">
        <v>60</v>
      </c>
      <c r="D30" s="46">
        <v>0.05</v>
      </c>
      <c r="E30" s="23" t="s">
        <v>60</v>
      </c>
      <c r="F30" s="46">
        <v>0.05</v>
      </c>
      <c r="G30" s="23" t="s">
        <v>60</v>
      </c>
      <c r="H30" s="46">
        <v>0.05</v>
      </c>
      <c r="I30" s="23" t="s">
        <v>60</v>
      </c>
      <c r="J30" s="46">
        <v>0.05</v>
      </c>
      <c r="K30" s="23" t="s">
        <v>60</v>
      </c>
      <c r="L30" s="46">
        <v>0.05</v>
      </c>
      <c r="M30" s="23" t="s">
        <v>60</v>
      </c>
      <c r="N30" s="46">
        <v>0.05</v>
      </c>
    </row>
    <row r="31" spans="1:15">
      <c r="A31" s="24" t="s">
        <v>61</v>
      </c>
      <c r="B31" s="47">
        <v>1.79</v>
      </c>
      <c r="C31" s="24" t="s">
        <v>61</v>
      </c>
      <c r="D31" s="47">
        <v>1.79</v>
      </c>
      <c r="E31" s="24" t="s">
        <v>61</v>
      </c>
      <c r="F31" s="47">
        <v>1.79</v>
      </c>
      <c r="G31" s="24" t="s">
        <v>61</v>
      </c>
      <c r="H31" s="47">
        <v>1.79</v>
      </c>
      <c r="I31" s="24" t="s">
        <v>61</v>
      </c>
      <c r="J31" s="47">
        <v>1.79</v>
      </c>
      <c r="K31" s="24" t="s">
        <v>61</v>
      </c>
      <c r="L31" s="47">
        <v>1.79</v>
      </c>
      <c r="M31" s="24" t="s">
        <v>61</v>
      </c>
      <c r="N31" s="47">
        <v>1.79</v>
      </c>
    </row>
    <row r="32" spans="1:15">
      <c r="A32" s="25" t="s">
        <v>62</v>
      </c>
      <c r="B32" s="48">
        <v>10</v>
      </c>
      <c r="C32" s="25" t="s">
        <v>62</v>
      </c>
      <c r="D32" s="48">
        <v>10</v>
      </c>
      <c r="E32" s="25" t="s">
        <v>62</v>
      </c>
      <c r="F32" s="48">
        <v>10</v>
      </c>
      <c r="G32" s="25" t="s">
        <v>62</v>
      </c>
      <c r="H32" s="48">
        <v>10</v>
      </c>
      <c r="I32" s="25" t="s">
        <v>62</v>
      </c>
      <c r="J32" s="48">
        <v>10</v>
      </c>
      <c r="K32" s="25" t="s">
        <v>62</v>
      </c>
      <c r="L32" s="48">
        <v>10</v>
      </c>
      <c r="M32" s="25" t="s">
        <v>62</v>
      </c>
      <c r="N32" s="48">
        <v>10</v>
      </c>
    </row>
    <row r="33" spans="1:14">
      <c r="A33" s="26" t="s">
        <v>63</v>
      </c>
      <c r="B33" s="26">
        <v>5</v>
      </c>
      <c r="C33" s="26" t="s">
        <v>63</v>
      </c>
      <c r="D33" s="26">
        <v>5</v>
      </c>
      <c r="E33" s="26" t="s">
        <v>63</v>
      </c>
      <c r="F33" s="26">
        <v>5</v>
      </c>
      <c r="G33" s="26" t="s">
        <v>63</v>
      </c>
      <c r="H33" s="26">
        <v>5</v>
      </c>
      <c r="I33" s="26" t="s">
        <v>63</v>
      </c>
      <c r="J33" s="26">
        <v>5</v>
      </c>
      <c r="K33" s="26" t="s">
        <v>63</v>
      </c>
      <c r="L33" s="26">
        <v>5</v>
      </c>
      <c r="M33" s="26" t="s">
        <v>63</v>
      </c>
      <c r="N33" s="26">
        <v>5</v>
      </c>
    </row>
    <row r="34" spans="1:14">
      <c r="A34" s="27" t="s">
        <v>64</v>
      </c>
      <c r="B34" s="27"/>
      <c r="C34" s="27" t="s">
        <v>64</v>
      </c>
      <c r="D34" s="27"/>
      <c r="E34" s="27" t="s">
        <v>64</v>
      </c>
      <c r="F34" s="27"/>
      <c r="G34" s="27" t="s">
        <v>64</v>
      </c>
      <c r="H34" s="27"/>
      <c r="I34" s="27" t="s">
        <v>64</v>
      </c>
      <c r="J34" s="27"/>
      <c r="K34" s="27" t="s">
        <v>64</v>
      </c>
      <c r="L34" s="27"/>
      <c r="M34" s="27" t="s">
        <v>64</v>
      </c>
      <c r="N34" s="27"/>
    </row>
    <row r="35" spans="1:14">
      <c r="A35" s="28" t="s">
        <v>65</v>
      </c>
      <c r="B35" s="27"/>
      <c r="C35" s="28" t="s">
        <v>65</v>
      </c>
      <c r="D35" s="27"/>
      <c r="E35" s="28" t="s">
        <v>65</v>
      </c>
      <c r="F35" s="27"/>
      <c r="G35" s="28" t="s">
        <v>65</v>
      </c>
      <c r="H35" s="27"/>
      <c r="I35" s="28" t="s">
        <v>65</v>
      </c>
      <c r="J35" s="27"/>
      <c r="K35" s="28" t="s">
        <v>65</v>
      </c>
      <c r="L35" s="27"/>
      <c r="M35" s="28" t="s">
        <v>65</v>
      </c>
      <c r="N35" s="27"/>
    </row>
    <row r="36" spans="1:14">
      <c r="A36" s="29" t="s">
        <v>66</v>
      </c>
      <c r="B36" s="29"/>
      <c r="C36" s="29" t="s">
        <v>66</v>
      </c>
      <c r="D36" s="29"/>
      <c r="E36" s="29" t="s">
        <v>66</v>
      </c>
      <c r="F36" s="29"/>
      <c r="G36" s="29" t="s">
        <v>66</v>
      </c>
      <c r="H36" s="29"/>
      <c r="I36" s="29" t="s">
        <v>66</v>
      </c>
      <c r="J36" s="29"/>
      <c r="K36" s="29" t="s">
        <v>66</v>
      </c>
      <c r="L36" s="29"/>
      <c r="M36" s="29" t="s">
        <v>66</v>
      </c>
      <c r="N36" s="29"/>
    </row>
    <row r="37" spans="1:14" ht="25">
      <c r="A37" s="30" t="s">
        <v>67</v>
      </c>
      <c r="B37" s="30"/>
      <c r="C37" s="30" t="s">
        <v>67</v>
      </c>
      <c r="D37" s="30"/>
      <c r="E37" s="30" t="s">
        <v>67</v>
      </c>
      <c r="F37" s="30"/>
      <c r="G37" s="30" t="s">
        <v>67</v>
      </c>
      <c r="H37" s="30"/>
      <c r="I37" s="30" t="s">
        <v>67</v>
      </c>
      <c r="J37" s="30"/>
      <c r="K37" s="30" t="s">
        <v>67</v>
      </c>
      <c r="L37" s="30"/>
      <c r="M37" s="30" t="s">
        <v>67</v>
      </c>
      <c r="N37" s="30"/>
    </row>
    <row r="38" spans="1:14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</row>
    <row r="39" spans="1:14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</row>
    <row r="40" spans="1:14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</row>
    <row r="41" spans="1:14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</row>
    <row r="42" spans="1:14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</row>
    <row r="43" spans="1:14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</row>
    <row r="44" spans="1:14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</row>
    <row r="45" spans="1:14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</row>
    <row r="46" spans="1:14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</row>
    <row r="47" spans="1:14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</row>
    <row r="48" spans="1:14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</row>
    <row r="49" spans="1:14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</row>
    <row r="50" spans="1:14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</row>
    <row r="51" spans="1:14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</row>
    <row r="52" spans="1:14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</row>
    <row r="53" spans="1:14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</row>
    <row r="54" spans="1:1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</row>
    <row r="55" spans="1:14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</row>
    <row r="56" spans="1:14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</row>
    <row r="57" spans="1:14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</row>
    <row r="58" spans="1:14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</row>
    <row r="59" spans="1:14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</row>
    <row r="60" spans="1:14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</row>
    <row r="61" spans="1:14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</row>
    <row r="62" spans="1:14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</row>
    <row r="63" spans="1:14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</row>
    <row r="64" spans="1:1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</row>
    <row r="65" spans="1:14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</row>
    <row r="66" spans="1:14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</row>
    <row r="67" spans="1:14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</row>
    <row r="68" spans="1:14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</row>
    <row r="69" spans="1:14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</row>
    <row r="70" spans="1:14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</row>
    <row r="71" spans="1:14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</row>
    <row r="72" spans="1:14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</row>
    <row r="73" spans="1:14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</row>
    <row r="74" spans="1:1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</row>
    <row r="75" spans="1:14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</row>
    <row r="76" spans="1:14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</row>
    <row r="77" spans="1:14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</row>
    <row r="78" spans="1:14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</row>
    <row r="79" spans="1:14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</row>
    <row r="80" spans="1:14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</row>
    <row r="81" spans="1:14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</row>
    <row r="82" spans="1:14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</row>
    <row r="83" spans="1:14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</row>
    <row r="84" spans="1:1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</row>
    <row r="85" spans="1:14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</row>
    <row r="86" spans="1:14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</row>
    <row r="87" spans="1:14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</row>
    <row r="88" spans="1:14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</row>
    <row r="89" spans="1:14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</row>
    <row r="90" spans="1:14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</row>
    <row r="91" spans="1:14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</row>
    <row r="92" spans="1:14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</row>
    <row r="93" spans="1:14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</row>
    <row r="94" spans="1:1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</row>
    <row r="95" spans="1:14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</row>
    <row r="96" spans="1:14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</row>
    <row r="97" spans="1:14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</row>
    <row r="98" spans="1:14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</row>
    <row r="99" spans="1:14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</row>
    <row r="100" spans="1:14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</row>
    <row r="101" spans="1:14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</row>
    <row r="102" spans="1:14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</row>
    <row r="103" spans="1:14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</row>
    <row r="104" spans="1:1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</row>
    <row r="105" spans="1:14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</row>
    <row r="106" spans="1:14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</row>
    <row r="107" spans="1:14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</row>
    <row r="108" spans="1:14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</row>
    <row r="109" spans="1:14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</row>
    <row r="110" spans="1:14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</row>
    <row r="111" spans="1:14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</row>
    <row r="112" spans="1:14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</row>
    <row r="113" spans="1:14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</row>
    <row r="114" spans="1: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</row>
    <row r="115" spans="1:14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</row>
    <row r="116" spans="1:14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</row>
    <row r="117" spans="1:14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</row>
    <row r="118" spans="1:14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</row>
    <row r="119" spans="1:14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</row>
    <row r="120" spans="1:14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</row>
    <row r="121" spans="1:14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</row>
    <row r="122" spans="1:14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</row>
    <row r="123" spans="1:14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</row>
    <row r="124" spans="1:1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</row>
    <row r="125" spans="1:14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</row>
    <row r="126" spans="1:14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</row>
    <row r="127" spans="1:14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</row>
    <row r="128" spans="1:14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</row>
    <row r="129" spans="1:14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</row>
    <row r="130" spans="1:14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</row>
    <row r="131" spans="1:14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</row>
    <row r="132" spans="1:14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</row>
    <row r="133" spans="1:14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</row>
    <row r="134" spans="1:1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</row>
    <row r="135" spans="1:14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</row>
    <row r="136" spans="1:14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</row>
    <row r="137" spans="1:14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</row>
    <row r="138" spans="1:14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</row>
    <row r="139" spans="1:14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</row>
    <row r="140" spans="1:14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</row>
    <row r="141" spans="1:14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</row>
    <row r="142" spans="1:14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</row>
    <row r="143" spans="1:14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</row>
    <row r="144" spans="1:1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</row>
    <row r="145" spans="1:14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</row>
    <row r="146" spans="1:14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</row>
    <row r="147" spans="1:14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</row>
    <row r="148" spans="1:14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</row>
    <row r="149" spans="1:14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</row>
    <row r="150" spans="1:14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</row>
    <row r="151" spans="1:14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</row>
    <row r="152" spans="1:14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</row>
    <row r="153" spans="1:14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</row>
    <row r="154" spans="1:1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</row>
    <row r="155" spans="1:14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</row>
    <row r="156" spans="1:14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</row>
    <row r="157" spans="1:14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</row>
    <row r="158" spans="1:14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</row>
    <row r="159" spans="1:14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</row>
    <row r="160" spans="1:14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</row>
    <row r="161" spans="1:14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</row>
  </sheetData>
  <conditionalFormatting sqref="A28">
    <cfRule type="colorScale" priority="172">
      <colorScale>
        <cfvo type="num" val="0"/>
        <cfvo type="num" val="20"/>
        <cfvo type="num" val="40"/>
        <color rgb="FFFF6173"/>
        <color theme="7" tint="0.79998168889431442"/>
        <color rgb="FF00B050"/>
      </colorScale>
    </cfRule>
  </conditionalFormatting>
  <conditionalFormatting sqref="A31">
    <cfRule type="colorScale" priority="171">
      <colorScale>
        <cfvo type="num" val="1"/>
        <cfvo type="num" val="5"/>
        <color theme="0"/>
        <color rgb="FFFFC000"/>
      </colorScale>
    </cfRule>
  </conditionalFormatting>
  <conditionalFormatting sqref="A9:N9">
    <cfRule type="cellIs" dxfId="7" priority="1" operator="equal">
      <formula>"Close"</formula>
    </cfRule>
    <cfRule type="cellIs" dxfId="6" priority="2" operator="equal">
      <formula>"SURE"</formula>
    </cfRule>
    <cfRule type="cellIs" dxfId="5" priority="3" operator="equal">
      <formula>"4ล้อ Q001"</formula>
    </cfRule>
    <cfRule type="cellIs" dxfId="4" priority="4" operator="equal">
      <formula>"6ล้อ Q001"</formula>
    </cfRule>
    <cfRule type="cellIs" dxfId="3" priority="5" operator="equal">
      <formula>"4ล้อ BK44"</formula>
    </cfRule>
    <cfRule type="cellIs" dxfId="2" priority="6" operator="equal">
      <formula>"6ล้อ BK44"</formula>
    </cfRule>
    <cfRule type="cellIs" dxfId="1" priority="7" operator="equal">
      <formula>"10ล้อ BK44"</formula>
    </cfRule>
    <cfRule type="cellIs" dxfId="0" priority="8" operator="equal">
      <formula>"10ล้อ Q001"</formula>
    </cfRule>
  </conditionalFormatting>
  <conditionalFormatting sqref="C28">
    <cfRule type="colorScale" priority="144">
      <colorScale>
        <cfvo type="num" val="0"/>
        <cfvo type="num" val="20"/>
        <cfvo type="num" val="40"/>
        <color rgb="FFFF6173"/>
        <color theme="7" tint="0.79998168889431442"/>
        <color rgb="FF00B050"/>
      </colorScale>
    </cfRule>
  </conditionalFormatting>
  <conditionalFormatting sqref="C31">
    <cfRule type="colorScale" priority="143">
      <colorScale>
        <cfvo type="num" val="1"/>
        <cfvo type="num" val="5"/>
        <color theme="0"/>
        <color rgb="FFFFC000"/>
      </colorScale>
    </cfRule>
  </conditionalFormatting>
  <conditionalFormatting sqref="D28 B28 F28 H28 J28">
    <cfRule type="colorScale" priority="154">
      <colorScale>
        <cfvo type="num" val="0"/>
        <cfvo type="num" val="20"/>
        <cfvo type="num" val="40"/>
        <color rgb="FFFF6173"/>
        <color theme="7" tint="0.79998168889431442"/>
        <color rgb="FF00B050"/>
      </colorScale>
    </cfRule>
  </conditionalFormatting>
  <conditionalFormatting sqref="D31 B31 F31 H31 J31">
    <cfRule type="colorScale" priority="153">
      <colorScale>
        <cfvo type="num" val="1"/>
        <cfvo type="num" val="5"/>
        <color theme="0"/>
        <color rgb="FFFFC000"/>
      </colorScale>
    </cfRule>
  </conditionalFormatting>
  <conditionalFormatting sqref="E28">
    <cfRule type="colorScale" priority="126">
      <colorScale>
        <cfvo type="num" val="0"/>
        <cfvo type="num" val="20"/>
        <cfvo type="num" val="40"/>
        <color rgb="FFFF6173"/>
        <color theme="7" tint="0.79998168889431442"/>
        <color rgb="FF00B050"/>
      </colorScale>
    </cfRule>
  </conditionalFormatting>
  <conditionalFormatting sqref="E31">
    <cfRule type="colorScale" priority="125">
      <colorScale>
        <cfvo type="num" val="1"/>
        <cfvo type="num" val="5"/>
        <color theme="0"/>
        <color rgb="FFFFC000"/>
      </colorScale>
    </cfRule>
  </conditionalFormatting>
  <conditionalFormatting sqref="G28">
    <cfRule type="colorScale" priority="108">
      <colorScale>
        <cfvo type="num" val="0"/>
        <cfvo type="num" val="20"/>
        <cfvo type="num" val="40"/>
        <color rgb="FFFF6173"/>
        <color theme="7" tint="0.79998168889431442"/>
        <color rgb="FF00B050"/>
      </colorScale>
    </cfRule>
  </conditionalFormatting>
  <conditionalFormatting sqref="G31">
    <cfRule type="colorScale" priority="107">
      <colorScale>
        <cfvo type="num" val="1"/>
        <cfvo type="num" val="5"/>
        <color theme="0"/>
        <color rgb="FFFFC000"/>
      </colorScale>
    </cfRule>
  </conditionalFormatting>
  <conditionalFormatting sqref="I28">
    <cfRule type="colorScale" priority="90">
      <colorScale>
        <cfvo type="num" val="0"/>
        <cfvo type="num" val="20"/>
        <cfvo type="num" val="40"/>
        <color rgb="FFFF6173"/>
        <color theme="7" tint="0.79998168889431442"/>
        <color rgb="FF00B050"/>
      </colorScale>
    </cfRule>
  </conditionalFormatting>
  <conditionalFormatting sqref="I31">
    <cfRule type="colorScale" priority="89">
      <colorScale>
        <cfvo type="num" val="1"/>
        <cfvo type="num" val="5"/>
        <color theme="0"/>
        <color rgb="FFFFC000"/>
      </colorScale>
    </cfRule>
  </conditionalFormatting>
  <conditionalFormatting sqref="K28">
    <cfRule type="colorScale" priority="62">
      <colorScale>
        <cfvo type="num" val="0"/>
        <cfvo type="num" val="20"/>
        <cfvo type="num" val="40"/>
        <color rgb="FFFF6173"/>
        <color theme="7" tint="0.79998168889431442"/>
        <color rgb="FF00B050"/>
      </colorScale>
    </cfRule>
  </conditionalFormatting>
  <conditionalFormatting sqref="K31">
    <cfRule type="colorScale" priority="61">
      <colorScale>
        <cfvo type="num" val="1"/>
        <cfvo type="num" val="5"/>
        <color theme="0"/>
        <color rgb="FFFFC000"/>
      </colorScale>
    </cfRule>
  </conditionalFormatting>
  <conditionalFormatting sqref="L28">
    <cfRule type="colorScale" priority="72">
      <colorScale>
        <cfvo type="num" val="0"/>
        <cfvo type="num" val="20"/>
        <cfvo type="num" val="40"/>
        <color rgb="FFFF6173"/>
        <color theme="7" tint="0.79998168889431442"/>
        <color rgb="FF00B050"/>
      </colorScale>
    </cfRule>
  </conditionalFormatting>
  <conditionalFormatting sqref="L31">
    <cfRule type="colorScale" priority="71">
      <colorScale>
        <cfvo type="num" val="1"/>
        <cfvo type="num" val="5"/>
        <color theme="0"/>
        <color rgb="FFFFC000"/>
      </colorScale>
    </cfRule>
  </conditionalFormatting>
  <conditionalFormatting sqref="M28">
    <cfRule type="colorScale" priority="34">
      <colorScale>
        <cfvo type="num" val="0"/>
        <cfvo type="num" val="20"/>
        <cfvo type="num" val="40"/>
        <color rgb="FFFF6173"/>
        <color theme="7" tint="0.79998168889431442"/>
        <color rgb="FF00B050"/>
      </colorScale>
    </cfRule>
  </conditionalFormatting>
  <conditionalFormatting sqref="M31">
    <cfRule type="colorScale" priority="33">
      <colorScale>
        <cfvo type="num" val="1"/>
        <cfvo type="num" val="5"/>
        <color theme="0"/>
        <color rgb="FFFFC000"/>
      </colorScale>
    </cfRule>
  </conditionalFormatting>
  <conditionalFormatting sqref="N28">
    <cfRule type="colorScale" priority="44">
      <colorScale>
        <cfvo type="num" val="0"/>
        <cfvo type="num" val="20"/>
        <cfvo type="num" val="40"/>
        <color rgb="FFFF6173"/>
        <color theme="7" tint="0.79998168889431442"/>
        <color rgb="FF00B050"/>
      </colorScale>
    </cfRule>
  </conditionalFormatting>
  <conditionalFormatting sqref="N31">
    <cfRule type="colorScale" priority="43">
      <colorScale>
        <cfvo type="num" val="1"/>
        <cfvo type="num" val="5"/>
        <color theme="0"/>
        <color rgb="FFFFC000"/>
      </colorScale>
    </cfRule>
  </conditionalFormatting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ตัวอย่าง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PARINYA THEPHI</dc:creator>
  <cp:keywords/>
  <dc:description/>
  <cp:lastModifiedBy>PARINYA THEPHI</cp:lastModifiedBy>
  <cp:revision/>
  <dcterms:created xsi:type="dcterms:W3CDTF">2026-09-09T07:47:41Z</dcterms:created>
  <dcterms:modified xsi:type="dcterms:W3CDTF">2026-09-11T08:13:04Z</dcterms:modified>
  <cp:category/>
  <cp:contentStatus/>
</cp:coreProperties>
</file>